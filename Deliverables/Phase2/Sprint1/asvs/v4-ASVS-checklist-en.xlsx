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davidferreira/Universidade/Isep/1Ano/2Semestre/Desofs/Project/desofs2025_wed_ffs_4/Deliverables/Phase2/Sprint1/asvs/"/>
    </mc:Choice>
  </mc:AlternateContent>
  <xr:revisionPtr revIDLastSave="0" documentId="8_{0BB5CD3F-8937-6247-B6D3-85F07D391E0E}" xr6:coauthVersionLast="47" xr6:coauthVersionMax="47" xr10:uidLastSave="{00000000-0000-0000-0000-000000000000}"/>
  <bookViews>
    <workbookView xWindow="0" yWindow="740" windowWidth="30240" windowHeight="18900" tabRatio="500" firstSheet="6" activeTab="13" xr2:uid="{00000000-000D-0000-FFFF-FFFF00000000}"/>
  </bookViews>
  <sheets>
    <sheet name="ASVS Results" sheetId="1" r:id="rId1"/>
    <sheet name="Architecture, Design and Threat" sheetId="2" r:id="rId2"/>
    <sheet name="Authentication" sheetId="3" r:id="rId3"/>
    <sheet name="Session Management" sheetId="4" r:id="rId4"/>
    <sheet name="Access Control" sheetId="5" r:id="rId5"/>
    <sheet name="Validation, Sanitization and En" sheetId="6" r:id="rId6"/>
    <sheet name="Stored Cryptography" sheetId="7" r:id="rId7"/>
    <sheet name="Error Handling and Logging" sheetId="8" r:id="rId8"/>
    <sheet name="Data Protection" sheetId="9" r:id="rId9"/>
    <sheet name="Communication" sheetId="10" r:id="rId10"/>
    <sheet name="Malicious Code" sheetId="11" r:id="rId11"/>
    <sheet name="Business Logic" sheetId="12" r:id="rId12"/>
    <sheet name="Files and Resources" sheetId="13" r:id="rId13"/>
    <sheet name="API and Web Service" sheetId="14" r:id="rId14"/>
    <sheet name="Configuration" sheetId="15" r:id="rId1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1" l="1"/>
  <c r="B15" i="1"/>
  <c r="D15" i="1" s="1"/>
  <c r="C14" i="1"/>
  <c r="B14" i="1"/>
  <c r="D14" i="1" s="1"/>
  <c r="C13" i="1"/>
  <c r="B13" i="1"/>
  <c r="D13" i="1" s="1"/>
  <c r="C12" i="1"/>
  <c r="B12" i="1"/>
  <c r="D12" i="1" s="1"/>
  <c r="C11" i="1"/>
  <c r="B11" i="1"/>
  <c r="D11" i="1" s="1"/>
  <c r="C10" i="1"/>
  <c r="B10" i="1"/>
  <c r="D10" i="1" s="1"/>
  <c r="C9" i="1"/>
  <c r="B9" i="1"/>
  <c r="D9" i="1" s="1"/>
  <c r="C8" i="1"/>
  <c r="B8" i="1"/>
  <c r="C7" i="1"/>
  <c r="B7" i="1"/>
  <c r="D7" i="1" s="1"/>
  <c r="C6" i="1"/>
  <c r="B6" i="1"/>
  <c r="C5" i="1"/>
  <c r="B5" i="1"/>
  <c r="D5" i="1" s="1"/>
  <c r="C4" i="1"/>
  <c r="B4" i="1"/>
  <c r="D4" i="1" s="1"/>
  <c r="C3" i="1"/>
  <c r="B3" i="1"/>
  <c r="C2" i="1"/>
  <c r="B2" i="1"/>
  <c r="D8" i="1" l="1"/>
  <c r="D6" i="1"/>
  <c r="D2" i="1"/>
  <c r="D3" i="1"/>
  <c r="B16" i="1"/>
  <c r="C16" i="1"/>
  <c r="D16" i="1" l="1"/>
</calcChain>
</file>

<file path=xl/sharedStrings.xml><?xml version="1.0" encoding="utf-8"?>
<sst xmlns="http://schemas.openxmlformats.org/spreadsheetml/2006/main" count="1269" uniqueCount="803">
  <si>
    <t>Security Category</t>
  </si>
  <si>
    <t>Valid criteria</t>
  </si>
  <si>
    <t>Total criteria</t>
  </si>
  <si>
    <t>Validity Percentage</t>
  </si>
  <si>
    <t>ASVS Level Acquired</t>
  </si>
  <si>
    <t>Architecture, Design and Threat Modeling</t>
  </si>
  <si>
    <t>Authentication</t>
  </si>
  <si>
    <t>Session Management</t>
  </si>
  <si>
    <t>Access Control</t>
  </si>
  <si>
    <t>Validation, Sanitization and Encoding</t>
  </si>
  <si>
    <t>Stored Cryptography</t>
  </si>
  <si>
    <t>Error Handling and Logging</t>
  </si>
  <si>
    <t>Data Protection</t>
  </si>
  <si>
    <t>Communication</t>
  </si>
  <si>
    <t>Malicious Code</t>
  </si>
  <si>
    <t>Business Logic</t>
  </si>
  <si>
    <t>Files and Resources</t>
  </si>
  <si>
    <t>API and Web Service</t>
  </si>
  <si>
    <t>Configuration</t>
  </si>
  <si>
    <t>Total</t>
  </si>
  <si>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</si>
  <si>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</si>
  <si>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</si>
  <si>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</si>
  <si>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</si>
  <si>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</si>
  <si>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</si>
  <si>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</si>
  <si>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</si>
  <si>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</si>
  <si>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</si>
  <si>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</si>
  <si>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</si>
  <si>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https://github.com/IsepMartimOliveira/desofs2025_wed_ffs_4/blob/main/src/main/java/com/example/psoft_22_23_project/devicemanagement/model/MacAddress.java</t>
  </si>
  <si>
    <t>The architecture is designed with security in mind: the database is hosted on the same machine as the API to limit external access and reduce the attack surface. The system uses JWT (JSON Web Tokens) for authentication, and implements strong input validation measures, such as enforcing a strict regex pattern for MAC address validation. Additionally, the chosen architecture is flexible and supports future maintenance and security enhancements, making it easier to implement new validation mechanisms and strengthen overall system protection over time.</t>
  </si>
  <si>
    <t>1.1.2</t>
  </si>
  <si>
    <t>Verify the use of threat modeling for every design change or sprint planning to identify threats, plan for countermeasures, facilitate appropriate risk responses, and guide security testing.</t>
  </si>
  <si>
    <t>https://github.com/IsepMartimOliveira/desofs2025_wed_ffs_4/blob/docs/phase1/Deliverables/Phase1/ssdlc/ThreatModeling.md
https://github.com/IsepMartimOliveira/desofs2025_wed_ffs_4/blob/docs/phase1/Deliverables/Phase1/ssdlc/Abuse_Case.md</t>
  </si>
  <si>
    <t>Threat Modeling and Abuse Cases documents</t>
  </si>
  <si>
    <t>1.1.3</t>
  </si>
  <si>
    <t>Verify that all user stories and features contain functional security constraints, such as "As a user, I should be able to view and edit my profile. I should not be able to view or edit anyone else's profile"</t>
  </si>
  <si>
    <t>https://github.com/IsepMartimOliveira/desofs2025_wed_ffs_4/blob/docs/phase1/Deliverables/Phase1/docs/ArchithectureAnalysis.md</t>
  </si>
  <si>
    <t>Security Requirements section</t>
  </si>
  <si>
    <t>1.1.4</t>
  </si>
  <si>
    <t>Verify documentation and justification of all the application's trust boundaries, components, and significant data flows.</t>
  </si>
  <si>
    <t>https://github.com/IsepMartimOliveira/desofs2025_wed_ffs_4/blob/docs/phase1/Deliverables/Phase1/ssdlc/ThreatModeling.md</t>
  </si>
  <si>
    <t>Threat Modeling</t>
  </si>
  <si>
    <t>1.1.5</t>
  </si>
  <si>
    <t>Verify definition and security analysis of the application's high-level architecture and all connected remote services. ([C1](https://owasp.org/www-project-proactive-controls/#div-numbering))</t>
  </si>
  <si>
    <t>Deployment View</t>
  </si>
  <si>
    <t>1.1.6</t>
  </si>
  <si>
    <t>Verify implementation of centralized, simple (economy of design), vetted, secure, and reusable security controls to avoid duplicate, missing, ineffective, or insecure controls. ([C10](https://owasp.org/www-project-proactive-controls/#div-numbering))</t>
  </si>
  <si>
    <t>https://github.com/IsepMartimOliveira/desofs2025_wed_ffs_4/blob/main/src/main/java/com/example/psoft_22_23_project/configuration/SecurityConfig.java</t>
  </si>
  <si>
    <t>Between lines 93–229 centralizes authentication, authorization, session management, password encoding, and CORS settings</t>
  </si>
  <si>
    <t>1.1.7</t>
  </si>
  <si>
    <t>Verify availability of a secure coding checklist, security requirements, guideline, or policy to all developers and testers.</t>
  </si>
  <si>
    <t>https://github.com/IsepMartimOliveira/desofs2025_wed_ffs_4/tree/docs/phase1/Deliverables/Phase1/v4-ASVS-checklist-en.xlsx
https://github.com/IsepMartimOliveira/desofs2025_wed_ffs_4/blob/docs/phase1/Deliverables/Phase1/docs/ArchithectureAnalysis.md</t>
  </si>
  <si>
    <t>ASVS Checklist and Archithecture Analysis</t>
  </si>
  <si>
    <t>Authentication Architecture</t>
  </si>
  <si>
    <t>1.2.1</t>
  </si>
  <si>
    <t>Verify the use of unique or special low-privilege operating system accounts for all application components, services, and servers. ([C3](https://owasp.org/www-project-proactive-controls/#div-numbering))</t>
  </si>
  <si>
    <t>Between lines 121 and 166</t>
  </si>
  <si>
    <t>1.2.2</t>
  </si>
  <si>
    <t>Verify that communications between application components, including APIs, middleware and data layers, are authenticated. Components should have the least necessary privileges needed. ([C3](https://owasp.org/www-project-proactive-controls/#div-numbering))</t>
  </si>
  <si>
    <t>https://github.com/IsepMartimOliveira/desofs2025_wed_ffs_4/blob/docs/phase1/src/main/java/com/example/psoft_22_23_project/configuration/SecurityConfig.java</t>
  </si>
  <si>
    <t>Method in line 98</t>
  </si>
  <si>
    <t>1.2.3</t>
  </si>
  <si>
    <t>Verify that the application uses a single vetted authentication mechanism that is known to be secure, can be extended to include strong authentication, and has sufficient logging and monitoring to detect account abuse or breaches.</t>
  </si>
  <si>
    <t xml:space="preserve">Methods between line 98 and line 180 </t>
  </si>
  <si>
    <t>1.2.4</t>
  </si>
  <si>
    <t>Verify that all authentication pathways and identity management APIs implement consistent authentication security control strength, such that there are no weaker alternatives per the risk of the application.</t>
  </si>
  <si>
    <t>https://github.com/IsepMartimOliveira/desofs2025_wed_ffs_4/blob/docs/phase1/src/main/java/com/example/psoft_22_23_project/api/AuthApi.java</t>
  </si>
  <si>
    <t>login method, uses JWT Token with expirancy date</t>
  </si>
  <si>
    <t>Session Management Architecture</t>
  </si>
  <si>
    <t>This is a placeholder for future architectural requirements.</t>
  </si>
  <si>
    <t>Not Applicable</t>
  </si>
  <si>
    <t xml:space="preserve">Access Control Architecture </t>
  </si>
  <si>
    <t>1.4.1</t>
  </si>
  <si>
    <t>Verify that trusted enforcement points such as at access control gateways, servers, and serverless functions enforce access controls. Never enforce access controls on the client.</t>
  </si>
  <si>
    <t>Methods between line 172 to 195</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</si>
  <si>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</si>
  <si>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</si>
  <si>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</si>
  <si>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</si>
  <si>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</si>
  <si>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</si>
  <si>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Only point of acess is login endpoint, 
it authenthicates the jwt token</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</si>
  <si>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</si>
  <si>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</si>
  <si>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https://github.com/IsepMartimOliveira/desofs2025_wed_ffs_4/blob/main/src/main/java/com/example/psoft_22_23_project/subscriptionsmanagement/services/SubscriptionsServiceImpl.java</t>
  </si>
  <si>
    <t>Method ChangePlan</t>
  </si>
  <si>
    <t xml:space="preserve">Input and Output Architecture </t>
  </si>
  <si>
    <t>1.5.1</t>
  </si>
  <si>
    <t>Verify that input and output requirements clearly define how to handle and process data based on type, content, and applicable laws, regulations, and other policy compliance.</t>
  </si>
  <si>
    <t>https://github.com/IsepMartimOliveira/desofs2025_wed_ffs_4/blob/docs/phase1/src/main/java/com/example/psoft_22_23_project/devicemanagement/model/MacAddress.java</t>
  </si>
  <si>
    <t xml:space="preserve">Between line 16 to 18 </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</si>
  <si>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</si>
  <si>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</si>
  <si>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</si>
  <si>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</si>
  <si>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https://github.com/IsepMartimOliveira/desofs2025_wed_ffs_4/blob/docs/phase1/src/main/java/com/example/psoft_22_23_project/devicemanagement/services/DeviceServiceImpl.java</t>
  </si>
  <si>
    <t xml:space="preserve">In all the methods </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</si>
  <si>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</si>
  <si>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</si>
  <si>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</si>
  <si>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</si>
  <si>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</si>
  <si>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Between line 79 to 88</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</si>
  <si>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</si>
  <si>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</si>
  <si>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</si>
  <si>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</si>
  <si>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Non-valid</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</si>
  <si>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</si>
  <si>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</si>
  <si>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</si>
  <si>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</si>
  <si>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</si>
  <si>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</si>
  <si>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</si>
  <si>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</si>
  <si>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</si>
  <si>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</si>
  <si>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</si>
  <si>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</si>
  <si>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</si>
  <si>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</si>
  <si>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</si>
  <si>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App uses HTTP conections. To implement</t>
  </si>
  <si>
    <t>1.9.2</t>
  </si>
  <si>
    <t>Verify that application components verify the authenticity of each side in a communication link to prevent person-in-the-middle attacks. For example, application components should validate TLS certificates and chains.</t>
  </si>
  <si>
    <t>App uses HTTP conections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</si>
  <si>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</si>
  <si>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</si>
  <si>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</si>
  <si>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https://github.com/IsepMartimOliveira/desofs2025_wed_ffs_4</t>
  </si>
  <si>
    <t>Git and Github are used</t>
  </si>
  <si>
    <t>Business Logic Architecture</t>
  </si>
  <si>
    <t>1.11.1</t>
  </si>
  <si>
    <t>Verify the definition and documentation of all application components in terms of the business or security functions they provide.</t>
  </si>
  <si>
    <t>https://github.com/IsepMartimOliveira/desofs2025_wed_ffs_4/tree/main/docs</t>
  </si>
  <si>
    <t>All application components and functionalities are defined and documented</t>
  </si>
  <si>
    <t>1.11.2</t>
  </si>
  <si>
    <t>Verify that all high-value business logic flows, including authentication, session management and access control, do not share unsynchronized state.</t>
  </si>
  <si>
    <t>The application operates in a stateless manner, relying on self-contained JWT tokens and a relational database (PostgreSQL) for state management. Authentication, session management, and access control flows do not share unsynchronized state.</t>
  </si>
  <si>
    <t>1.11.3</t>
  </si>
  <si>
    <t>Verify that all high-value business logic flows, including authentication, session management and access control are thread safe and resistant to time-of-check and time-of-use race conditions.</t>
  </si>
  <si>
    <t>The application uses Spring Security, which is inherently thread-safe for managing authentication, session management, and access control. Also uses JWT tokens.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</si>
  <si>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</si>
  <si>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</si>
  <si>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</si>
  <si>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</si>
  <si>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</si>
  <si>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https://github.com/IsepMartimOliveira/desofs2025_wed_ffs_4/blob/main/src/main/java/com/example/psoft_22_23_project/filestoragemanagement/service/FileStorageService.java</t>
  </si>
  <si>
    <t>Line 131 -&gt;156 in Device controller and line 175-&gt;176 on SecurityConfig (not yet commited)</t>
  </si>
  <si>
    <t>API Architecture</t>
  </si>
  <si>
    <t>Configuration Architecture</t>
  </si>
  <si>
    <t>1.14.1</t>
  </si>
  <si>
    <t>Verify the segregation of components of differing trust levels through well-defined security controls, firewall rules, API gateways, reverse proxies, cloud-based security groups, or similar mechanisms.</t>
  </si>
  <si>
    <t>Only uses RBAC and has permissive CORS policy</t>
  </si>
  <si>
    <t>1.14.2</t>
  </si>
  <si>
    <t>Verify that binary signatures, trusted connections, and verified endpoints are used to deploy binaries to remote devices.</t>
  </si>
  <si>
    <t>1.14.3</t>
  </si>
  <si>
    <t>Verify that the build pipeline warns of out-of-date or insecure components and takes appropriate actions.</t>
  </si>
  <si>
    <t>https://github.com/IsepMartimOliveira/desofs2025_wed_ffs_4/blob/main/.github/workflows/security_scan.yaml</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</si>
  <si>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</si>
  <si>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</si>
  <si>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</si>
  <si>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</si>
  <si>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</si>
  <si>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</si>
  <si>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 xml:space="preserve">Password Security </t>
  </si>
  <si>
    <t>2.1.1</t>
  </si>
  <si>
    <t>5.1.1.2</t>
  </si>
  <si>
    <t>Verify that user set passwords are at least 12 characters in length (after multiple spaces are combined). ([C6](https://owasp.org/www-project-proactive-controls/#div-numbering))</t>
  </si>
  <si>
    <t>https://github.com/IsepMartimOliveira/desofs2025_wed_ffs_4/blob/main/src/main/java/com/example/psoft_22_23_project/usermanagement/api/CreateUserRequest.java</t>
  </si>
  <si>
    <t xml:space="preserve">Between line 21 to 24 </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</si>
  <si>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</si>
  <si>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</si>
  <si>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</si>
  <si>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</si>
  <si>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Definition of the size of password with minimum and maximum lenght</t>
  </si>
  <si>
    <t>2.1.4</t>
  </si>
  <si>
    <t>Verify that any printable Unicode character, including language neutral characters such as spaces and Emojis are permitted in passwords.</t>
  </si>
  <si>
    <t>We only use @size(min=12,max=24) annotation so we can use any password in this range</t>
  </si>
  <si>
    <t>2.1.5</t>
  </si>
  <si>
    <t>Verify users can change their password.</t>
  </si>
  <si>
    <t>https://github.com/IsepMartimOliveira/desofs2025_wed_ffs_4/blob/Authentication/src/main/java/com/example/psoft_22_23_project/usermanagement/api/UserController.java</t>
  </si>
  <si>
    <t>Method ChangePassword</t>
  </si>
  <si>
    <t>2.1.6</t>
  </si>
  <si>
    <t>Verify that password change functionality requires the user's current and new password.</t>
  </si>
  <si>
    <t>https://github.com/IsepMartimOliveira/desofs2025_wed_ffs_4/blob/Authentication/src/main/java/com/example/psoft_22_23_project/usermanagement/services/UserService.java</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</si>
  <si>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</si>
  <si>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</si>
  <si>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</si>
  <si>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</si>
  <si>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</si>
  <si>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</si>
  <si>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https://github.com/IsepMartimOliveira/desofs2025_wed_ffs_4/blob/Authentication/src/main/java/com/example/psoft_22_23_project/usermanagement/api/CreateUserRequest.java</t>
  </si>
  <si>
    <t xml:space="preserve">We didn´t have patterns implemented </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</si>
  <si>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</si>
  <si>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</si>
  <si>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</si>
  <si>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</si>
  <si>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</si>
  <si>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</si>
  <si>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</si>
  <si>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</si>
  <si>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</si>
  <si>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</si>
  <si>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</si>
  <si>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</si>
  <si>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</si>
  <si>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</si>
  <si>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</si>
  <si>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</si>
  <si>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</si>
  <si>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</si>
  <si>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</si>
  <si>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</si>
  <si>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</si>
  <si>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</si>
  <si>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</si>
  <si>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</si>
  <si>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</si>
  <si>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</si>
  <si>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</si>
  <si>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</si>
  <si>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</si>
  <si>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</si>
  <si>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</si>
  <si>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</si>
  <si>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</si>
  <si>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</si>
  <si>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</si>
  <si>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</si>
  <si>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</si>
  <si>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</si>
  <si>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</si>
  <si>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</si>
  <si>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</si>
  <si>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</si>
  <si>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</si>
  <si>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</si>
  <si>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</si>
  <si>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</si>
  <si>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</si>
  <si>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</si>
  <si>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</si>
  <si>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</si>
  <si>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</si>
  <si>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</si>
  <si>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</si>
  <si>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</si>
  <si>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</si>
  <si>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</si>
  <si>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</si>
  <si>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</si>
  <si>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</si>
  <si>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</si>
  <si>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</si>
  <si>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</si>
  <si>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</si>
  <si>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</si>
  <si>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</si>
  <si>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</si>
  <si>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</si>
  <si>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</si>
  <si>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</si>
  <si>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</si>
  <si>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</si>
  <si>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</si>
  <si>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</si>
  <si>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</si>
  <si>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</si>
  <si>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</si>
  <si>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</si>
  <si>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</si>
  <si>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</si>
  <si>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</si>
  <si>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</si>
  <si>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</si>
  <si>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</si>
  <si>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</si>
  <si>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</si>
  <si>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</si>
  <si>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</si>
  <si>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</si>
  <si>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</si>
  <si>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</si>
  <si>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</si>
  <si>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</si>
  <si>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</si>
  <si>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</si>
  <si>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</si>
  <si>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</si>
  <si>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</si>
  <si>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</si>
  <si>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</si>
  <si>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</si>
  <si>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</si>
  <si>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</si>
  <si>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</si>
  <si>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</si>
  <si>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</si>
  <si>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</si>
  <si>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</si>
  <si>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</si>
  <si>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</si>
  <si>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</si>
  <si>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</si>
  <si>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</si>
  <si>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</si>
  <si>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</si>
  <si>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</si>
  <si>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</si>
  <si>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</si>
  <si>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</si>
  <si>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</si>
  <si>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</si>
  <si>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</si>
  <si>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</si>
  <si>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</si>
  <si>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</si>
  <si>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</si>
  <si>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</si>
  <si>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</si>
  <si>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</si>
  <si>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</si>
  <si>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</si>
  <si>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</si>
  <si>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</si>
  <si>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</si>
  <si>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</si>
  <si>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</si>
  <si>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</si>
  <si>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</si>
  <si>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</si>
  <si>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</si>
  <si>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</si>
  <si>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</si>
  <si>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</si>
  <si>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</si>
  <si>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</si>
  <si>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</si>
  <si>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</si>
  <si>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</si>
  <si>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</si>
  <si>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</si>
  <si>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</si>
  <si>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</si>
  <si>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</si>
  <si>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</si>
  <si>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</si>
  <si>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</si>
  <si>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</si>
  <si>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</si>
  <si>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</si>
  <si>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</si>
  <si>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</si>
  <si>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</si>
  <si>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</si>
  <si>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</si>
  <si>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</si>
  <si>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</si>
  <si>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</si>
  <si>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</si>
  <si>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</si>
  <si>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</si>
  <si>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</si>
  <si>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</si>
  <si>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</si>
  <si>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</si>
  <si>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</si>
  <si>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</si>
  <si>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</si>
  <si>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</si>
  <si>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 xml:space="preserve">	Uses Role-Based Access Control (RBAC) with Spring Security annotations and filters at the server level. Access decisions are enforced using a trusted service layer based on JWT-authenticated roles.</t>
  </si>
  <si>
    <t>4.1.2</t>
  </si>
  <si>
    <t>Verify that all user and data attributes and policy information used by access controls cannot be manipulated by end users unless specifically authorized.</t>
  </si>
  <si>
    <t>JWT tokens are validated and parsed server-side using JwtDecoder and JwtAuthenticationConverter. Claims such as roles are extracted securely and used to enforce access policies.</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</si>
  <si>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</si>
  <si>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</si>
  <si>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Access to API endpoints is restricted using hasRole(...) and permitAll() for minimal exposure. Roles are enforced with JWT claims, ensuring users only access what they're authorized to.</t>
  </si>
  <si>
    <t>4.1.4</t>
  </si>
  <si>
    <t>4.1.5</t>
  </si>
  <si>
    <t>Verify that access controls fail securely including when an exception occurs. ([C10](https://owasp.org/www-project-proactive-controls/#div-numbering))</t>
  </si>
  <si>
    <t xml:space="preserve"> a user is unauthenticated, a 401 Unauthorized is returned. If a user is authenticated but lacks permission, a 403 Forbidden is returned. Configured using Spring Security's BearerTokenAuthenticationEntryPoint and BearerTokenAccessDeniedHandler.</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</si>
  <si>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</si>
  <si>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</si>
  <si>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</si>
  <si>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</si>
  <si>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</si>
  <si>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Comunicates with the backend via HTTP APIs using JWT in the Authorization header</t>
  </si>
  <si>
    <t>Other Access Control Considerations</t>
  </si>
  <si>
    <t>4.3.1</t>
  </si>
  <si>
    <t>Verify administrative interfaces use appropriate multi-factor authentication to prevent unauthorized use.</t>
  </si>
  <si>
    <t>No multi-factor authentication (MFA) is implemented or required for administrative interfaces at this time.</t>
  </si>
  <si>
    <t>4.3.2</t>
  </si>
  <si>
    <t>Verify that directory browsing is disabled unless deliberately desired. Additionally, applications should not allow discovery or disclosure of file or directory metadata, such as Thumbs.db, .DS_Store, .git or .svn folders.</t>
  </si>
  <si>
    <t xml:space="preserve">	The Spring Boot embedded server disables directory browsing by default. No static file exposure or folder listings are enabled.</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</si>
  <si>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</si>
  <si>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</si>
  <si>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he application does not require step-up authentication or additional anti-fraud controls at this time, as it's not classified as a high-value or high-risk application</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</si>
  <si>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</si>
  <si>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</si>
  <si>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</si>
  <si>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There is distinction betwen the request type</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</si>
  <si>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</si>
  <si>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</si>
  <si>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Uses DTO(All), use initiateBinder(Subs),IgnoringUnkow fields(Subs)</t>
  </si>
  <si>
    <t>5.1.3</t>
  </si>
  <si>
    <t>Verify that all input (HTML form fields, REST requests, URL parameters, HTTP headers, cookies, batch files, RSS feeds, etc) is validated using positive validation (allow lists). ([C5](https://owasp.org/www-project-proactive-controls/#div-numbering))</t>
  </si>
  <si>
    <t>https://github.com/IsepMartimOliveira/desofs2025_wed_ffs_4/blob/main/src/main/java/com/example/psoft_22_23_project/plansmanagement/api/PlansController.java</t>
  </si>
  <si>
    <t>Validates input  using Bean Validation Annotations like:@RequestBody,@Valid. Validating using @Regex, @Min, @Max on DTO.</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</si>
  <si>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</si>
  <si>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</si>
  <si>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https://github.com/IsepMartimOliveira/desofs2025_wed_ffs_4/blob/main/src/main/java/com/example/psoft_22_23_project/plansmanagement/api/CreatePlanRequest.java</t>
  </si>
  <si>
    <t xml:space="preserve">DTO Validation,Header validation(if-match),@InitBinder usage	</t>
  </si>
  <si>
    <t>5.1.5</t>
  </si>
  <si>
    <t>Verify that URL redirects and forwards only allow destinations which appear on an allow list, or show a warning when redirecting to potentially untrusted content.</t>
  </si>
  <si>
    <t>No redirect in application</t>
  </si>
  <si>
    <t xml:space="preserve">Sanitization and Sandboxing </t>
  </si>
  <si>
    <t>Verify that all untrusted HTML input from WYSIWYG editors or similar is properly sanitized with an HTML sanitizer library or framework feature. ([C5](https://owasp.org/www-project-proactive-controls/#div-numbering))</t>
  </si>
  <si>
    <t>No frontend</t>
  </si>
  <si>
    <t>5.2.2</t>
  </si>
  <si>
    <t>Verify that unstructured data is sanitized to enforce safety measures such as allowed characters and length.</t>
  </si>
  <si>
    <t>https://github.com/IsepMartimOliveira/desofs2025_wed_ffs_4/blob/main/src/main/java/com/example/psoft_22_23_project/usermanagement/model/User.java</t>
  </si>
  <si>
    <t xml:space="preserve">Validate using Bean Validation </t>
  </si>
  <si>
    <t>Verify that the application sanitizes user input before passing to mail systems to protect against SMTP or IMAP injection.</t>
  </si>
  <si>
    <t>No mail server</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</si>
  <si>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</si>
  <si>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</si>
  <si>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</si>
  <si>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</si>
  <si>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https://github.com/IsepMartimOliveira/desofs2025_wed_ffs_4/blob/main/src/main/java/com/example/psoft_22_23_project/filestoragemanagement/sanitize/SanitizeImage.java</t>
  </si>
  <si>
    <t>Check if uploaded file doesn´t point to  remote  url</t>
  </si>
  <si>
    <t>5.2.7</t>
  </si>
  <si>
    <t>Verify that the application sanitizes, disables, or sandboxes user-supplied Scalable Vector Graphics (SVG) scriptable content, especially as they relate to XSS resulting from inline scripts, and foreignObject.</t>
  </si>
  <si>
    <t>Only alllows jpg,jpeg,png,gif,webp format</t>
  </si>
  <si>
    <t>Verify that the application sanitizes, disables, or sandboxes user-supplied scriptable or expression template language content, such as Markdown, CSS or XSL stylesheets, BBCode, or similar.</t>
  </si>
  <si>
    <t xml:space="preserve">Output encoding and Injection Prevention </t>
  </si>
  <si>
    <t>5.3.1</t>
  </si>
  <si>
    <r>
      <rPr>
        <sz val="12"/>
        <color rgb="FF102A43"/>
        <rFont val="Calibri"/>
        <family val="2"/>
      </rPr>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Noto Sans CJK SC"/>
      </rPr>
      <t xml:space="preserve">ねこ </t>
    </r>
    <r>
      <rPr>
        <sz val="12"/>
        <color rgb="FF102A43"/>
        <rFont val="Calibri"/>
        <family val="2"/>
      </rPr>
      <t>or O'Hara). ([C4](https://owasp.org/www-project-proactive-controls/#div-numbering))</t>
    </r>
  </si>
  <si>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</si>
  <si>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</si>
  <si>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</si>
  <si>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</si>
  <si>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</si>
  <si>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</si>
  <si>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https://github.com/IsepMartimOliveira/desofs2025_wed_ffs_4/blob/main/src/main/java/com/example/psoft_22_23_project/plansmanagement/repositories/PlansRepository.java</t>
  </si>
  <si>
    <t xml:space="preserve">Uses Spring Data JPA with parameterized queries, preventing SQL injection.
</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</si>
  <si>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</si>
  <si>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</si>
  <si>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Parameterized queries via Spring Data JPA are used, eliminating the need for manual SQL escaping.</t>
  </si>
  <si>
    <t>5.3.6</t>
  </si>
  <si>
    <t>Verify that the application protects against JSON injection attacks, JSON eval attacks, and JavaScript expression evaluation. ([C4](https://owasp.org/www-project-proactive-controls/#div-numbering))</t>
  </si>
  <si>
    <t xml:space="preserve"> The application is backend-only using Spring Boot with no JavaScript-based JSON evaluation or dynamic code execution. the application is backend-only using Spring Boot with no JavaScript-based JSON evaluation or dynamic code execution.</t>
  </si>
  <si>
    <t>5.3.7</t>
  </si>
  <si>
    <t>Verify that the application protects against LDAP injection vulnerabilities, or that specific security controls to prevent LDAP injection have been implemented. ([C4](https://owasp.org/www-project-proactive-controls/#div-numbering))</t>
  </si>
  <si>
    <t xml:space="preserve"> The application does not use LDAP or perform LDAP queries.</t>
  </si>
  <si>
    <t>5.3.8</t>
  </si>
  <si>
    <t>Verify that the application protects against OS command injection and that operating system calls use parameterized OS queries or use contextual command line output encoding. ([C4](https://owasp.org/www-project-proactive-controls/#div-numbering))</t>
  </si>
  <si>
    <t>The application does not execute OS commands or shell calls; therefore, OS command injection risks are not present.</t>
  </si>
  <si>
    <t>5.3.9</t>
  </si>
  <si>
    <t>Verify that the application protects against Local File Inclusion (LFI) or Remote File Inclusion (RFI) attacks.</t>
  </si>
  <si>
    <t>inputs, preventing Local and Remote File Inclusion attacks.</t>
  </si>
  <si>
    <t>5.3.10</t>
  </si>
  <si>
    <t>Verify that the application protects against XPath injection or XML injection attacks. ([C4](https://owasp.org/www-project-proactive-controls/#div-numbering))</t>
  </si>
  <si>
    <t xml:space="preserve">Memory, String and Unmanaged Code </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</si>
  <si>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</si>
  <si>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</si>
  <si>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</si>
  <si>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</si>
  <si>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</si>
  <si>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</si>
  <si>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</si>
  <si>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</si>
  <si>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</si>
  <si>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The application uses cryptographic signatures or encryption to ensure serialized data integrity and prevent tampering or hostile object injection.</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</si>
  <si>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</si>
  <si>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</si>
  <si>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</si>
  <si>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</si>
  <si>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</si>
  <si>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</si>
  <si>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No frontend, no  Javascript based backend</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</si>
  <si>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</si>
  <si>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</si>
  <si>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</si>
  <si>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</si>
  <si>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</si>
  <si>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</si>
  <si>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</si>
  <si>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</si>
  <si>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</si>
  <si>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</si>
  <si>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</si>
  <si>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</si>
  <si>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</si>
  <si>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</si>
  <si>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</si>
  <si>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</si>
  <si>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</si>
  <si>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</si>
  <si>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</si>
  <si>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</si>
  <si>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</si>
  <si>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</si>
  <si>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</si>
  <si>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</si>
  <si>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</si>
  <si>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</si>
  <si>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</si>
  <si>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</si>
  <si>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</si>
  <si>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</si>
  <si>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</si>
  <si>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</si>
  <si>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</si>
  <si>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</si>
  <si>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</si>
  <si>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</si>
  <si>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</si>
  <si>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https://github.com/IsepMartimOliveira/desofs2025_wed_ffs_4/blob/main/src/main/java/com/example/psoft_22_23_project/api/AuthApi.java</t>
  </si>
  <si>
    <t>Inside the try-catch block of the login method</t>
  </si>
  <si>
    <t>Verify that the application does not log other sensitive data as defined under local privacy laws or relevant security policy. ([C9](https://owasp.org/www-project-proactive-controls/#div-numbering))</t>
  </si>
  <si>
    <t>Line 107 (log.info("User {} successfully authenticated from IP {} in {} ms", Utils.sanitize(username), Utils.sanitize(clientIp),duration);)</t>
  </si>
  <si>
    <t>7.1.3</t>
  </si>
  <si>
    <t>Verify that the application logs security relevant events including successful and failed authentication events, access control failures, deserialization failures and input validation failures. ([C5, C7](https://owasp.org/www-project-proactive-controls/#div-numbering))</t>
  </si>
  <si>
    <t>Line 119 and 120</t>
  </si>
  <si>
    <t>7.1.4</t>
  </si>
  <si>
    <t>Verify that each log event includes necessary information that would allow for a detailed investigation of the timeline when an event happens. ([C9](https://owasp.org/www-project-proactive-controls/#div-numbering))</t>
  </si>
  <si>
    <t>https://github.com/IsepMartimOliveira/desofs2025_wed_ffs_4/blob/main/src/main/java/com/example/psoft_22_23_project/subscriptionsmanagement/api/SubscriptionsController.java</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</si>
  <si>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</si>
  <si>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</si>
  <si>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</si>
  <si>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</si>
  <si>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All the class Auth you can see all failed decisions are logged</t>
  </si>
  <si>
    <t>Log Protection</t>
  </si>
  <si>
    <t>7.3.1</t>
  </si>
  <si>
    <t>Verify that all logging components appropriately encode data to prevent log injection. ([C9](https://owasp.org/www-project-proactive-controls/#div-numbering))</t>
  </si>
  <si>
    <t>https://github.com/IsepMartimOliveira/desofs2025_wed_ffs_4/blob/main/src/main/java/com/example/psoft_22_23_project/exceptions/GlobalExceptionHandler.java</t>
  </si>
  <si>
    <t>in all logs of the class</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</si>
  <si>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</si>
  <si>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</si>
  <si>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</si>
  <si>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</si>
  <si>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</si>
  <si>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</si>
  <si>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</si>
  <si>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</si>
  <si>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</si>
  <si>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Method handleInternalServerError</t>
  </si>
  <si>
    <t>7.4.2</t>
  </si>
  <si>
    <t>Verify that exception handling (or a functional equivalent) is used across the codebase to account for expected and unexpected error conditions. ([C10](https://owasp.org/www-project-proactive-controls/#div-numbering))</t>
  </si>
  <si>
    <t>Inside the try-catch block of the login method when you have 2 catches (LockedException and Exception)</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</si>
  <si>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</si>
  <si>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</si>
  <si>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</si>
  <si>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</si>
  <si>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</si>
  <si>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</si>
  <si>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</si>
  <si>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</si>
  <si>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</si>
  <si>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</si>
  <si>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</si>
  <si>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</si>
  <si>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</si>
  <si>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</si>
  <si>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</si>
  <si>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</si>
  <si>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</si>
  <si>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</si>
  <si>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</si>
  <si>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</si>
  <si>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</si>
  <si>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</si>
  <si>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</si>
  <si>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</si>
  <si>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</si>
  <si>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</si>
  <si>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</si>
  <si>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Two endpoints were implemented in order for the user to be able to export their personal data in JSON format or request its deletion.</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</si>
  <si>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</si>
  <si>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</si>
  <si>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</si>
  <si>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</si>
  <si>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</si>
  <si>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</si>
  <si>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</si>
  <si>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</si>
  <si>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</si>
  <si>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</si>
  <si>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</si>
  <si>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</si>
  <si>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</si>
  <si>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</si>
  <si>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</si>
  <si>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https://github.com/IsepMartimOliveira/desofs2025_wed_ffs_4/blob/main/src/main/resources/application.properties</t>
  </si>
  <si>
    <t>Enable SSL in application properties</t>
  </si>
  <si>
    <t>9.1.2</t>
  </si>
  <si>
    <t>Verify using up to date TLS testing tools that only strong cipher suites are enabled, with the strongest cipher suites set as preferred.</t>
  </si>
  <si>
    <t>HTTPS is enforced through Spring Boot configuration using a self-signed certificate in keystore.p12. The application is configured to support only TLS 1.2 and 1.3, and to disable all older or insecure protocols. Strong cipher suites are explicitly enabled.</t>
  </si>
  <si>
    <t>9.1.3</t>
  </si>
  <si>
    <t>Verify that only the latest recommended versions of the TLS protocol are enabled, such as TLS 1.2 and TLS 1.3. The latest version of the TLS protocol should be the preferred option.</t>
  </si>
  <si>
    <t>In application.properties we have "server.ssl.enabled-protocols=TLSv1.3,TLSv1.2 "</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</si>
  <si>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</si>
  <si>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</si>
  <si>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</si>
  <si>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In application.properties we have "server.ssl.key-store=classpath:keystore.p12"</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</si>
  <si>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</si>
  <si>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</si>
  <si>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</si>
  <si>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</si>
  <si>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</si>
  <si>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</si>
  <si>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</si>
  <si>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</si>
  <si>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In application.properties we add logging.level.javax.net.ssl=DEBUG</t>
  </si>
  <si>
    <t>Code Integrity</t>
  </si>
  <si>
    <t>10.1.1</t>
  </si>
  <si>
    <t>Verify that a code analysis tool is in use that can detect potentially malicious code, such as time functions, unsafe file operations and network connections.</t>
  </si>
  <si>
    <t>https://github.com/IsepMartimOliveira/desofs2025_wed_ffs_4/blob/main/.github/workflows/tests_before_push_main.yaml</t>
  </si>
  <si>
    <t xml:space="preserve">We use SonarQube in our pipeline </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</si>
  <si>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</si>
  <si>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</si>
  <si>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</si>
  <si>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https://github.com/IsepMartimOliveira/desofs2025_wed_ffs_4/blob/main/pom.xml</t>
  </si>
  <si>
    <t>After analyzing the documentation of the third-party libraries and the source code, there is no unauthorized data collection.</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</si>
  <si>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</si>
  <si>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</si>
  <si>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</si>
  <si>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</si>
  <si>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</si>
  <si>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</si>
  <si>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</si>
  <si>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</si>
  <si>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</si>
  <si>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</si>
  <si>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</si>
  <si>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</si>
  <si>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</si>
  <si>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</si>
  <si>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</si>
  <si>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</si>
  <si>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</si>
  <si>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 xml:space="preserve">https://github.com/IsepMartimOliveira/desofs2025_wed_ffs_4/blob/main/src/main/resources/application.properties </t>
  </si>
  <si>
    <t>application properties line 83 to 88</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</si>
  <si>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</si>
  <si>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</si>
  <si>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</si>
  <si>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</si>
  <si>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</si>
  <si>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https://github.com/IsepMartimOliveira/desofs2025_wed_ffs_4/blob/60685731027efced577ee73517a2d84a07e1e639/src/main/java/com/example/psoft_22_23_project/api/AuthApi.java#L63</t>
  </si>
  <si>
    <t>Between line 63 to 148. The login flow implements both IP-based and user-based login throttling. On repeated failed attempts, accounts or IPs are temporarily blocked. This mechanism ensures login cannot be automated or abused at speeds beyond realistic human interaction. While login is a single-step action, similar protections would be extended to multi-step flows as applicable elsewhere in the application.</t>
  </si>
  <si>
    <t>11.1.3</t>
  </si>
  <si>
    <t>Verify the application has appropriate limits for specific business actions or transactions which are correctly enforced on a per user basis.</t>
  </si>
  <si>
    <t>Between line 63 to 148.</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</si>
  <si>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</si>
  <si>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</si>
  <si>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</si>
  <si>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</si>
  <si>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</si>
  <si>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</si>
  <si>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https://github.com/IsepMartimOliveira/desofs2025_wed_ffs_4/blob/60685731027efced577ee73517a2d84a07e1e639/src/main/java/com/example/psoft_22_23_project/devicemanagement/services/DeviceServiceImpl.java#L111</t>
  </si>
  <si>
    <t>In the line 111. The application uses Spring's @Transactional annotation to ensure that sensitive operations (e.g., financial transactions, record updates) are performed atomically. Business logic validations and data modifications occur in a single transaction, preventing TOCTOU issues.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</si>
  <si>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</si>
  <si>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</si>
  <si>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</si>
  <si>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</si>
  <si>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</si>
  <si>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</si>
  <si>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</si>
  <si>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</si>
  <si>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</si>
  <si>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</si>
  <si>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</si>
  <si>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A user can only have one image, however size is not validated</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</si>
  <si>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</si>
  <si>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</si>
  <si>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</si>
  <si>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</si>
  <si>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</si>
  <si>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</si>
  <si>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</si>
  <si>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</si>
  <si>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</si>
  <si>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</si>
  <si>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</si>
  <si>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</si>
  <si>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</si>
  <si>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</si>
  <si>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</si>
  <si>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</si>
  <si>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</si>
  <si>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</si>
  <si>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</si>
  <si>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</si>
  <si>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</si>
  <si>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</si>
  <si>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</si>
  <si>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</si>
  <si>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</si>
  <si>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</si>
  <si>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</si>
  <si>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</si>
  <si>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</si>
  <si>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</si>
  <si>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</si>
  <si>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</si>
  <si>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</si>
  <si>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</si>
  <si>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</si>
  <si>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</si>
  <si>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No sensitive information is exposed</t>
  </si>
  <si>
    <t>13.1.4</t>
  </si>
  <si>
    <t>Verify that authorization decisions are made at both the URI, enforced by programmatic or declarative security at the controller or router, and at the resource level, enforced by model-based permissions.</t>
  </si>
  <si>
    <t>Lines 163 and 157 for example</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</si>
  <si>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</si>
  <si>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</si>
  <si>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</si>
  <si>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</si>
  <si>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</si>
  <si>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</si>
  <si>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</si>
  <si>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CreatePlanRequest for example</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</si>
  <si>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</si>
  <si>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</si>
  <si>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</si>
  <si>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</si>
  <si>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</si>
  <si>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</si>
  <si>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</si>
  <si>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</si>
  <si>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</si>
  <si>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</si>
  <si>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</si>
  <si>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</si>
  <si>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</si>
  <si>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</si>
  <si>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</si>
  <si>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</si>
  <si>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</si>
  <si>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</si>
  <si>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</si>
  <si>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</si>
  <si>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</si>
  <si>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</si>
  <si>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</si>
  <si>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</si>
  <si>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</si>
  <si>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</si>
  <si>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</si>
  <si>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</si>
  <si>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</si>
  <si>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</si>
  <si>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</si>
  <si>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</si>
  <si>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</si>
  <si>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</si>
  <si>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</si>
  <si>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</si>
  <si>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</si>
  <si>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</si>
  <si>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</si>
  <si>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</si>
  <si>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</si>
  <si>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</si>
  <si>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</si>
  <si>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</si>
  <si>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</si>
  <si>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</si>
  <si>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</si>
  <si>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</si>
  <si>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</si>
  <si>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</si>
  <si>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</si>
  <si>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</si>
  <si>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</si>
  <si>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</si>
  <si>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</si>
  <si>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</si>
  <si>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</si>
  <si>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</si>
  <si>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</si>
  <si>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</si>
  <si>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</si>
  <si>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</si>
  <si>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</si>
  <si>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</si>
  <si>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</si>
  <si>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</si>
  <si>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</si>
  <si>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</si>
  <si>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</si>
  <si>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</si>
  <si>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</si>
  <si>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</si>
  <si>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</si>
  <si>
    <t>SecurityConfig.java proves integrity protection through HTTPS enforcement, CSP headers blocking untrusted scripts, and strict access controls.</t>
  </si>
  <si>
    <t>This requirement is fulfilled by enforcing sequential business logic steps — such as plan selection, subscription creation, cancellation, renewal, and plan changes — while ensuring that only the authenticated user can perform these actions and that each step validates the current subscription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</si>
</sst>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_€"/>
  </numFmts>
  <fonts count="20">
    <font>
      <sz val="10"/>
      <name val="Arial"/>
      <family val="2"/>
      <charset val="1"/>
    </font>
    <font>
      <sz val="16"/>
      <name val="Calibri"/>
      <family val="2"/>
      <charset val="1"/>
    </font>
    <font>
      <sz val="10"/>
      <name val="Calibri"/>
      <family val="2"/>
      <charset val="1"/>
    </font>
    <font>
      <b/>
      <sz val="16"/>
      <color rgb="FFE12D39"/>
      <name val="Calibri"/>
      <family val="2"/>
      <charset val="1"/>
    </font>
    <font>
      <sz val="16"/>
      <color rgb="FF102A43"/>
      <name val="Calibri"/>
      <family val="2"/>
      <charset val="1"/>
    </font>
    <font>
      <sz val="16"/>
      <color rgb="FFFFFFFF"/>
      <name val="Calibri"/>
      <family val="2"/>
      <charset val="1"/>
    </font>
    <font>
      <sz val="12"/>
      <color rgb="FF102A43"/>
      <name val="Calibri"/>
      <family val="2"/>
      <charset val="1"/>
    </font>
    <font>
      <sz val="10"/>
      <color rgb="FF102A43"/>
      <name val="Calibri"/>
      <family val="2"/>
      <charset val="1"/>
    </font>
    <font>
      <sz val="14"/>
      <color rgb="FFFFFFFF"/>
      <name val="Calibri"/>
      <family val="2"/>
      <charset val="1"/>
    </font>
    <font>
      <sz val="10"/>
      <color rgb="FFCC0000"/>
      <name val="Calibri"/>
      <family val="2"/>
      <charset val="1"/>
    </font>
    <font>
      <sz val="12"/>
      <name val="Calibri"/>
      <family val="2"/>
      <charset val="1"/>
    </font>
    <font>
      <sz val="10"/>
      <color rgb="FFFFFFFF"/>
      <name val="Calibri"/>
      <family val="2"/>
      <charset val="1"/>
    </font>
    <font>
      <sz val="12"/>
      <color rgb="FF102A43"/>
      <name val="Calibri"/>
      <family val="2"/>
    </font>
    <font>
      <sz val="12"/>
      <color rgb="FF102A43"/>
      <name val="Noto Sans CJK SC"/>
    </font>
    <font>
      <u/>
      <sz val="10"/>
      <color theme="10"/>
      <name val="Arial"/>
      <family val="2"/>
      <charset val="1"/>
    </font>
    <font>
      <sz val="12"/>
      <color rgb="FF0E0E0E"/>
      <name val="Calibri"/>
      <family val="2"/>
    </font>
    <font>
      <u/>
      <sz val="12"/>
      <color rgb="FF102A43"/>
      <name val="Calibri"/>
      <family val="2"/>
      <charset val="1"/>
    </font>
    <font>
      <sz val="12"/>
      <name val="Calibri"/>
      <family val="2"/>
    </font>
    <font>
      <sz val="12"/>
      <color rgb="FF242424"/>
      <name val="Calibri"/>
      <family val="2"/>
    </font>
    <font>
      <sz val="14"/>
      <color rgb="FF0E0E0E"/>
      <name val=".AppleSystemUIFont"/>
    </font>
  </fonts>
  <fills count="9">
    <fill>
      <patternFill patternType="none"/>
    </fill>
    <fill>
      <patternFill patternType="gray125"/>
    </fill>
    <fill>
      <patternFill patternType="solid">
        <fgColor rgb="FF9FB3C8"/>
        <bgColor rgb="FFA4C1FF"/>
      </patternFill>
    </fill>
    <fill>
      <patternFill patternType="solid">
        <fgColor rgb="FF486581"/>
        <bgColor rgb="FF334E68"/>
      </patternFill>
    </fill>
    <fill>
      <patternFill patternType="solid">
        <fgColor rgb="FFF0F4F8"/>
        <bgColor rgb="FFFFFFFF"/>
      </patternFill>
    </fill>
    <fill>
      <patternFill patternType="solid">
        <fgColor rgb="FFC7EA8F"/>
        <bgColor rgb="FFD9D9D9"/>
      </patternFill>
    </fill>
    <fill>
      <patternFill patternType="solid">
        <fgColor rgb="FFFAFA6A"/>
        <bgColor rgb="FFC7EA8F"/>
      </patternFill>
    </fill>
    <fill>
      <patternFill patternType="solid">
        <fgColor rgb="FF87EAF2"/>
        <bgColor rgb="FF99CCFF"/>
      </patternFill>
    </fill>
    <fill>
      <patternFill patternType="solid">
        <fgColor rgb="FFFFFFFF"/>
        <bgColor rgb="FFF0F4F8"/>
      </patternFill>
    </fill>
  </fills>
  <borders count="47">
    <border>
      <left/>
      <right/>
      <top/>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style="hair">
        <color auto="1"/>
      </left>
      <right style="medium">
        <color rgb="FF243B53"/>
      </right>
      <top/>
      <bottom style="medium">
        <color rgb="FF243B53"/>
      </bottom>
      <diagonal/>
    </border>
    <border>
      <left/>
      <right style="medium">
        <color auto="1"/>
      </right>
      <top/>
      <bottom style="medium">
        <color auto="1"/>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s>
  <cellStyleXfs count="2">
    <xf numFmtId="0" fontId="0" fillId="0" borderId="0"/>
    <xf numFmtId="0" fontId="14" fillId="0" borderId="0" applyNumberFormat="0" applyFill="0" applyBorder="0" applyAlignment="0" applyProtection="0"/>
  </cellStyleXfs>
  <cellXfs count="147">
    <xf numFmtId="0" fontId="0" fillId="0" borderId="0" xfId="0"/>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4" fillId="2" borderId="8"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horizontal="center" wrapText="1"/>
    </xf>
    <xf numFmtId="0" fontId="4" fillId="2" borderId="2" xfId="0" applyFont="1" applyFill="1" applyBorder="1" applyAlignment="1">
      <alignment horizontal="center" wrapText="1"/>
    </xf>
    <xf numFmtId="0" fontId="5" fillId="0" borderId="0" xfId="0" applyFont="1" applyAlignment="1">
      <alignment horizontal="center" wrapText="1"/>
    </xf>
    <xf numFmtId="0" fontId="5" fillId="3" borderId="3" xfId="0" applyFont="1" applyFill="1" applyBorder="1"/>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164" fontId="6" fillId="4" borderId="5" xfId="0" applyNumberFormat="1" applyFont="1" applyFill="1" applyBorder="1" applyAlignment="1">
      <alignment horizontal="center" wrapText="1"/>
    </xf>
    <xf numFmtId="0" fontId="7" fillId="4" borderId="5" xfId="0" applyFont="1" applyFill="1" applyBorder="1"/>
    <xf numFmtId="0" fontId="8" fillId="0" borderId="0" xfId="0" applyFont="1" applyAlignment="1">
      <alignment horizontal="center" wrapText="1"/>
    </xf>
    <xf numFmtId="0" fontId="9" fillId="0" borderId="0" xfId="0" applyFont="1"/>
    <xf numFmtId="0" fontId="10" fillId="0" borderId="0" xfId="0" applyFont="1"/>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6" fillId="2"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xf numFmtId="0" fontId="6" fillId="0" borderId="2" xfId="0" applyFont="1" applyBorder="1" applyAlignment="1">
      <alignment horizontal="left" vertical="center" wrapText="1"/>
    </xf>
    <xf numFmtId="0" fontId="6" fillId="0" borderId="11" xfId="0" applyFont="1" applyBorder="1" applyAlignment="1">
      <alignment wrapText="1"/>
    </xf>
    <xf numFmtId="0" fontId="6" fillId="0" borderId="0" xfId="0" applyFont="1"/>
    <xf numFmtId="0" fontId="6" fillId="5" borderId="12"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5" xfId="0" applyFont="1" applyBorder="1"/>
    <xf numFmtId="0" fontId="6" fillId="0" borderId="5" xfId="0" applyFont="1" applyBorder="1" applyAlignment="1">
      <alignment horizontal="left" vertical="center" wrapText="1"/>
    </xf>
    <xf numFmtId="0" fontId="6" fillId="0" borderId="5" xfId="0" applyFont="1" applyBorder="1" applyAlignment="1">
      <alignment wrapText="1"/>
    </xf>
    <xf numFmtId="0" fontId="6" fillId="0" borderId="13" xfId="0" applyFont="1" applyBorder="1" applyAlignment="1">
      <alignment wrapText="1"/>
    </xf>
    <xf numFmtId="0" fontId="6" fillId="0" borderId="13" xfId="0" applyFont="1" applyBorder="1"/>
    <xf numFmtId="0" fontId="6" fillId="5" borderId="14" xfId="0" applyFont="1" applyFill="1" applyBorder="1" applyAlignment="1">
      <alignment horizontal="center" vertical="center"/>
    </xf>
    <xf numFmtId="0" fontId="6" fillId="0" borderId="15" xfId="0" applyFont="1" applyBorder="1" applyAlignment="1">
      <alignment horizontal="center" vertical="center" wrapText="1"/>
    </xf>
    <xf numFmtId="0" fontId="6" fillId="0" borderId="15" xfId="0" applyFont="1" applyBorder="1"/>
    <xf numFmtId="0" fontId="6" fillId="0" borderId="15" xfId="0" applyFont="1" applyBorder="1" applyAlignment="1">
      <alignment horizontal="left" vertical="center" wrapText="1"/>
    </xf>
    <xf numFmtId="0" fontId="6" fillId="0" borderId="16" xfId="0" applyFont="1" applyBorder="1"/>
    <xf numFmtId="0" fontId="10" fillId="0" borderId="0" xfId="0" applyFont="1" applyAlignment="1">
      <alignment wrapText="1"/>
    </xf>
    <xf numFmtId="0" fontId="10" fillId="0" borderId="0" xfId="0" applyFont="1" applyAlignment="1">
      <alignment horizont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0" borderId="0" xfId="0" applyFont="1" applyAlignment="1">
      <alignment horizontal="center" vertical="center"/>
    </xf>
    <xf numFmtId="0" fontId="6" fillId="2"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6" fillId="0" borderId="23" xfId="0" applyFont="1" applyBorder="1"/>
    <xf numFmtId="0" fontId="6" fillId="0" borderId="23" xfId="0" applyFont="1" applyBorder="1" applyAlignment="1">
      <alignment wrapText="1"/>
    </xf>
    <xf numFmtId="0" fontId="6" fillId="0" borderId="24" xfId="0" applyFont="1" applyBorder="1" applyAlignment="1">
      <alignment wrapText="1"/>
    </xf>
    <xf numFmtId="0" fontId="6" fillId="6" borderId="25"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7" borderId="2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0" borderId="14" xfId="0" applyFont="1" applyBorder="1" applyAlignment="1">
      <alignment horizontal="center" vertical="center" wrapText="1"/>
    </xf>
    <xf numFmtId="0" fontId="4" fillId="0" borderId="0" xfId="0" applyFont="1" applyAlignment="1">
      <alignment vertical="center" wrapText="1"/>
    </xf>
    <xf numFmtId="0" fontId="6" fillId="0" borderId="0" xfId="0" applyFont="1" applyAlignment="1">
      <alignment horizontal="center" wrapText="1"/>
    </xf>
    <xf numFmtId="0" fontId="5" fillId="3" borderId="27" xfId="0" applyFont="1" applyFill="1" applyBorder="1" applyAlignment="1">
      <alignment horizontal="center" vertical="center" wrapText="1"/>
    </xf>
    <xf numFmtId="0" fontId="5" fillId="3"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6" borderId="21" xfId="0" applyFont="1" applyFill="1" applyBorder="1" applyAlignment="1">
      <alignment horizontal="center" vertical="center"/>
    </xf>
    <xf numFmtId="0" fontId="6" fillId="0" borderId="23" xfId="0" applyFont="1" applyBorder="1" applyAlignment="1">
      <alignment horizontal="center" vertical="center"/>
    </xf>
    <xf numFmtId="0" fontId="6" fillId="0" borderId="24" xfId="0" applyFont="1" applyBorder="1"/>
    <xf numFmtId="0" fontId="6" fillId="6" borderId="25" xfId="0" applyFont="1" applyFill="1" applyBorder="1" applyAlignment="1">
      <alignment horizontal="center" vertical="center"/>
    </xf>
    <xf numFmtId="0" fontId="6" fillId="0" borderId="5" xfId="0" applyFont="1" applyBorder="1" applyAlignment="1">
      <alignment horizontal="center" vertical="center"/>
    </xf>
    <xf numFmtId="0" fontId="6" fillId="5" borderId="25" xfId="0" applyFont="1" applyFill="1" applyBorder="1" applyAlignment="1">
      <alignment horizontal="center" vertical="center"/>
    </xf>
    <xf numFmtId="0" fontId="6" fillId="7" borderId="25" xfId="0" applyFont="1" applyFill="1" applyBorder="1" applyAlignment="1">
      <alignment horizontal="center" vertical="center"/>
    </xf>
    <xf numFmtId="0" fontId="6" fillId="6" borderId="26" xfId="0" applyFont="1" applyFill="1" applyBorder="1" applyAlignment="1">
      <alignment horizontal="center" vertical="center"/>
    </xf>
    <xf numFmtId="0" fontId="6" fillId="0" borderId="15" xfId="0" applyFont="1" applyBorder="1" applyAlignment="1">
      <alignment horizontal="center" vertical="center"/>
    </xf>
    <xf numFmtId="0" fontId="4" fillId="0" borderId="0" xfId="0" applyFont="1"/>
    <xf numFmtId="0" fontId="7" fillId="0" borderId="0" xfId="0" applyFont="1"/>
    <xf numFmtId="0" fontId="8" fillId="3" borderId="27" xfId="0" applyFont="1" applyFill="1" applyBorder="1" applyAlignment="1">
      <alignment horizontal="center" vertical="center"/>
    </xf>
    <xf numFmtId="0" fontId="8" fillId="3" borderId="27" xfId="0" applyFont="1" applyFill="1" applyBorder="1" applyAlignment="1">
      <alignment horizontal="center" vertical="center" wrapText="1"/>
    </xf>
    <xf numFmtId="0" fontId="11" fillId="0" borderId="0" xfId="0" applyFont="1" applyAlignment="1">
      <alignment horizontal="center" vertical="center"/>
    </xf>
    <xf numFmtId="0" fontId="7" fillId="2" borderId="20" xfId="0" applyFont="1" applyFill="1" applyBorder="1" applyAlignment="1">
      <alignment horizontal="center" vertical="center"/>
    </xf>
    <xf numFmtId="0" fontId="6" fillId="5" borderId="26" xfId="0" applyFont="1" applyFill="1" applyBorder="1" applyAlignment="1">
      <alignment horizontal="center" vertical="center"/>
    </xf>
    <xf numFmtId="0" fontId="6" fillId="0" borderId="23" xfId="0" applyFont="1" applyBorder="1" applyAlignment="1">
      <alignment horizontal="left" wrapText="1"/>
    </xf>
    <xf numFmtId="0" fontId="6" fillId="0" borderId="5" xfId="0" applyFont="1" applyBorder="1" applyAlignment="1">
      <alignment horizontal="left" wrapText="1"/>
    </xf>
    <xf numFmtId="0" fontId="6" fillId="0" borderId="15" xfId="0" applyFont="1" applyBorder="1" applyAlignment="1">
      <alignment horizontal="left" wrapText="1"/>
    </xf>
    <xf numFmtId="0" fontId="6" fillId="5" borderId="21" xfId="0" applyFont="1" applyFill="1" applyBorder="1" applyAlignment="1">
      <alignment horizontal="center" vertical="center"/>
    </xf>
    <xf numFmtId="0" fontId="5" fillId="3" borderId="28"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0" xfId="0" applyFont="1" applyFill="1" applyBorder="1" applyAlignment="1">
      <alignment horizontal="center" vertical="center" wrapText="1"/>
    </xf>
    <xf numFmtId="0" fontId="5" fillId="3" borderId="30" xfId="0" applyFont="1" applyFill="1" applyBorder="1" applyAlignment="1">
      <alignment horizontal="center" vertical="center"/>
    </xf>
    <xf numFmtId="0" fontId="5" fillId="8" borderId="0" xfId="0" applyFont="1" applyFill="1" applyAlignment="1">
      <alignment horizontal="center" vertical="center"/>
    </xf>
    <xf numFmtId="0" fontId="6" fillId="6" borderId="31" xfId="0" applyFont="1" applyFill="1" applyBorder="1" applyAlignment="1">
      <alignment horizontal="center" vertical="center"/>
    </xf>
    <xf numFmtId="0" fontId="6" fillId="0" borderId="32" xfId="0" applyFont="1" applyBorder="1" applyAlignment="1">
      <alignment horizontal="center" vertical="center" wrapText="1"/>
    </xf>
    <xf numFmtId="0" fontId="6" fillId="0" borderId="32" xfId="0" applyFont="1" applyBorder="1" applyAlignment="1">
      <alignment horizontal="center" vertical="center"/>
    </xf>
    <xf numFmtId="0" fontId="6" fillId="0" borderId="32" xfId="0" applyFont="1" applyBorder="1" applyAlignment="1">
      <alignment horizontal="left" wrapText="1"/>
    </xf>
    <xf numFmtId="0" fontId="6" fillId="0" borderId="32" xfId="0" applyFont="1" applyBorder="1"/>
    <xf numFmtId="0" fontId="6" fillId="0" borderId="33" xfId="0" applyFont="1" applyBorder="1"/>
    <xf numFmtId="0" fontId="5" fillId="3" borderId="17" xfId="0" applyFont="1" applyFill="1" applyBorder="1" applyAlignment="1">
      <alignment horizontal="center" vertical="center" wrapText="1"/>
    </xf>
    <xf numFmtId="0" fontId="6" fillId="7" borderId="26" xfId="0" applyFont="1" applyFill="1" applyBorder="1" applyAlignment="1">
      <alignment horizontal="center" vertical="center"/>
    </xf>
    <xf numFmtId="0" fontId="5" fillId="3" borderId="34" xfId="0" applyFont="1" applyFill="1" applyBorder="1" applyAlignment="1">
      <alignment horizontal="center" vertical="center" wrapText="1"/>
    </xf>
    <xf numFmtId="0" fontId="6" fillId="7" borderId="21" xfId="0" applyFont="1" applyFill="1" applyBorder="1" applyAlignment="1">
      <alignment horizontal="center" vertical="center"/>
    </xf>
    <xf numFmtId="0" fontId="5" fillId="3" borderId="35" xfId="0" applyFont="1" applyFill="1" applyBorder="1" applyAlignment="1">
      <alignment horizontal="center" vertical="center" wrapText="1"/>
    </xf>
    <xf numFmtId="0" fontId="6" fillId="2" borderId="37" xfId="0" applyFont="1" applyFill="1" applyBorder="1" applyAlignment="1">
      <alignment horizontal="center" vertical="center"/>
    </xf>
    <xf numFmtId="0" fontId="6" fillId="5" borderId="38" xfId="0" applyFont="1" applyFill="1" applyBorder="1" applyAlignment="1">
      <alignment horizontal="center" vertical="center"/>
    </xf>
    <xf numFmtId="0" fontId="6" fillId="0" borderId="39" xfId="0" applyFont="1" applyBorder="1" applyAlignment="1">
      <alignment horizontal="center" vertical="center" wrapText="1"/>
    </xf>
    <xf numFmtId="0" fontId="6" fillId="0" borderId="39" xfId="0" applyFont="1" applyBorder="1" applyAlignment="1">
      <alignment horizontal="center" vertical="center"/>
    </xf>
    <xf numFmtId="0" fontId="6" fillId="0" borderId="39" xfId="0" applyFont="1" applyBorder="1" applyAlignment="1">
      <alignment horizontal="left" wrapText="1"/>
    </xf>
    <xf numFmtId="0" fontId="6" fillId="0" borderId="39" xfId="0" applyFont="1" applyBorder="1"/>
    <xf numFmtId="0" fontId="6" fillId="0" borderId="40" xfId="0" applyFont="1" applyBorder="1"/>
    <xf numFmtId="0" fontId="6" fillId="5" borderId="41" xfId="0" applyFont="1" applyFill="1" applyBorder="1" applyAlignment="1">
      <alignment horizontal="center" vertical="center"/>
    </xf>
    <xf numFmtId="0" fontId="6" fillId="0" borderId="42" xfId="0" applyFont="1" applyBorder="1" applyAlignment="1">
      <alignment horizontal="center" vertical="center" wrapText="1"/>
    </xf>
    <xf numFmtId="0" fontId="6" fillId="0" borderId="42" xfId="0" applyFont="1" applyBorder="1" applyAlignment="1">
      <alignment horizontal="center" vertical="center"/>
    </xf>
    <xf numFmtId="0" fontId="6" fillId="0" borderId="42" xfId="0" applyFont="1" applyBorder="1" applyAlignment="1">
      <alignment horizontal="left" wrapText="1"/>
    </xf>
    <xf numFmtId="0" fontId="6" fillId="0" borderId="42" xfId="0" applyFont="1" applyBorder="1"/>
    <xf numFmtId="0" fontId="6" fillId="0" borderId="43" xfId="0" applyFont="1" applyBorder="1"/>
    <xf numFmtId="0" fontId="6" fillId="7" borderId="41" xfId="0" applyFont="1" applyFill="1" applyBorder="1" applyAlignment="1">
      <alignment horizontal="center" vertical="center"/>
    </xf>
    <xf numFmtId="0" fontId="6" fillId="6" borderId="41" xfId="0" applyFont="1" applyFill="1" applyBorder="1" applyAlignment="1">
      <alignment horizontal="center" vertical="center"/>
    </xf>
    <xf numFmtId="0" fontId="6" fillId="5" borderId="44" xfId="0" applyFont="1" applyFill="1" applyBorder="1" applyAlignment="1">
      <alignment horizontal="center" vertical="center"/>
    </xf>
    <xf numFmtId="0" fontId="6" fillId="0" borderId="45" xfId="0" applyFont="1" applyBorder="1" applyAlignment="1">
      <alignment horizontal="center" vertical="center" wrapText="1"/>
    </xf>
    <xf numFmtId="0" fontId="6" fillId="0" borderId="45" xfId="0" applyFont="1" applyBorder="1" applyAlignment="1">
      <alignment horizontal="center" vertical="center"/>
    </xf>
    <xf numFmtId="0" fontId="6" fillId="0" borderId="45" xfId="0" applyFont="1" applyBorder="1" applyAlignment="1">
      <alignment horizontal="left" wrapText="1"/>
    </xf>
    <xf numFmtId="0" fontId="6" fillId="0" borderId="45" xfId="0" applyFont="1" applyBorder="1"/>
    <xf numFmtId="0" fontId="6" fillId="0" borderId="46" xfId="0" applyFont="1" applyBorder="1"/>
    <xf numFmtId="0" fontId="12" fillId="0" borderId="5" xfId="0" applyFont="1" applyBorder="1"/>
    <xf numFmtId="0" fontId="12" fillId="0" borderId="2" xfId="0" applyFont="1" applyBorder="1" applyAlignment="1">
      <alignment wrapText="1"/>
    </xf>
    <xf numFmtId="0" fontId="12" fillId="0" borderId="10" xfId="0" applyFont="1" applyBorder="1" applyAlignment="1">
      <alignment wrapText="1"/>
    </xf>
    <xf numFmtId="0" fontId="14" fillId="0" borderId="5" xfId="1" applyBorder="1" applyAlignment="1">
      <alignment wrapText="1"/>
    </xf>
    <xf numFmtId="0" fontId="14" fillId="0" borderId="5" xfId="1" applyBorder="1"/>
    <xf numFmtId="0" fontId="14" fillId="0" borderId="2" xfId="1" applyBorder="1" applyAlignment="1">
      <alignment wrapText="1"/>
    </xf>
    <xf numFmtId="0" fontId="6" fillId="0" borderId="0" xfId="0" applyFont="1" applyAlignment="1">
      <alignment wrapText="1"/>
    </xf>
    <xf numFmtId="0" fontId="12" fillId="0" borderId="5" xfId="0" applyFont="1" applyBorder="1" applyAlignment="1">
      <alignment wrapText="1"/>
    </xf>
    <xf numFmtId="0" fontId="6" fillId="0" borderId="2" xfId="0" applyFont="1" applyBorder="1" applyAlignment="1">
      <alignment wrapText="1"/>
    </xf>
    <xf numFmtId="0" fontId="14" fillId="0" borderId="32" xfId="1" applyBorder="1"/>
    <xf numFmtId="0" fontId="14" fillId="0" borderId="23" xfId="1" applyBorder="1"/>
    <xf numFmtId="0" fontId="15" fillId="0" borderId="0" xfId="0" applyFont="1"/>
    <xf numFmtId="0" fontId="14" fillId="0" borderId="15" xfId="1" applyBorder="1"/>
    <xf numFmtId="0" fontId="16" fillId="0" borderId="23" xfId="0" applyFont="1" applyBorder="1" applyAlignment="1">
      <alignment horizontal="left" vertical="center" wrapText="1"/>
    </xf>
    <xf numFmtId="0" fontId="14" fillId="0" borderId="23" xfId="1" applyBorder="1"/>
    <xf numFmtId="0" fontId="14" fillId="0" borderId="5" xfId="1" applyBorder="1"/>
    <xf numFmtId="0" fontId="14" fillId="0" borderId="15" xfId="1" applyBorder="1" applyAlignment="1">
      <alignment vertical="center" wrapText="1"/>
    </xf>
    <xf numFmtId="0" fontId="0" fillId="0" borderId="0" xfId="0" quotePrefix="1"/>
    <xf numFmtId="0" fontId="0" fillId="0" borderId="0" xfId="0" applyAlignment="1">
      <alignment wrapText="1"/>
    </xf>
    <xf numFmtId="0" fontId="0" fillId="0" borderId="0" xfId="0" applyAlignment="1">
      <alignment vertical="top" wrapText="1"/>
    </xf>
    <xf numFmtId="0" fontId="4" fillId="2" borderId="19" xfId="0" applyFont="1" applyFill="1" applyBorder="1" applyAlignment="1">
      <alignment horizontal="center" vertical="center" wrapText="1"/>
    </xf>
    <xf numFmtId="0" fontId="4" fillId="2" borderId="36" xfId="0" applyFont="1" applyFill="1" applyBorder="1" applyAlignment="1">
      <alignment horizontal="center" vertical="center" wrapText="1"/>
    </xf>
    <xf numFmtId="0" fontId="10" fillId="0" borderId="5" xfId="0" applyFont="1" applyBorder="1"/>
    <xf numFmtId="0" fontId="17" fillId="0" borderId="0" xfId="0" applyFont="1"/>
    <xf numFmtId="0" fontId="18" fillId="0" borderId="0" xfId="0" applyFont="1"/>
    <xf numFmtId="0" fontId="19"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CCCDC"/>
      <rgbColor rgb="FF878787"/>
      <rgbColor rgb="FF9FB3C8"/>
      <rgbColor rgb="FFE12D39"/>
      <rgbColor rgb="FFF0F4F8"/>
      <rgbColor rgb="FF87EA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7EA8F"/>
      <rgbColor rgb="FFFAFA6A"/>
      <rgbColor rgb="FF99CCFF"/>
      <rgbColor rgb="FFFF99CC"/>
      <rgbColor rgb="FFA4C1FF"/>
      <rgbColor rgb="FFFFCC99"/>
      <rgbColor rgb="FF3E7FCC"/>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334E68"/>
      <rgbColor rgb="FF243B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pt-PT" sz="1800" b="1" strike="noStrike" spc="-1">
                <a:solidFill>
                  <a:srgbClr val="000000"/>
                </a:solidFill>
                <a:latin typeface="Calibri"/>
              </a:rPr>
              <a:t>Validity Percentage</a:t>
            </a:r>
          </a:p>
        </c:rich>
      </c:tx>
      <c:overlay val="0"/>
      <c:spPr>
        <a:noFill/>
        <a:ln>
          <a:noFill/>
        </a:ln>
      </c:spPr>
    </c:title>
    <c:autoTitleDeleted val="0"/>
    <c:plotArea>
      <c:layout/>
      <c:radarChart>
        <c:radarStyle val="filled"/>
        <c:varyColors val="0"/>
        <c:ser>
          <c:idx val="0"/>
          <c:order val="0"/>
          <c:tx>
            <c:strRef>
              <c:f>'ASVS Results'!$D$1</c:f>
              <c:strCache>
                <c:ptCount val="1"/>
                <c:pt idx="0">
                  <c:v>Validity Percentage</c:v>
                </c:pt>
              </c:strCache>
            </c:strRef>
          </c:tx>
          <c:spPr>
            <a:gradFill>
              <a:gsLst>
                <a:gs pos="0">
                  <a:srgbClr val="3E7FCC"/>
                </a:gs>
                <a:gs pos="100000">
                  <a:srgbClr val="A4C1FF"/>
                </a:gs>
              </a:gsLst>
              <a:lin ang="16200000"/>
            </a:gradFill>
            <a:ln>
              <a:noFill/>
            </a:ln>
          </c:spPr>
          <c:dLbls>
            <c:spPr>
              <a:noFill/>
              <a:ln>
                <a:noFill/>
              </a:ln>
              <a:effectLst/>
            </c:spPr>
            <c:txPr>
              <a:bodyPr/>
              <a:lstStyle/>
              <a:p>
                <a:pPr>
                  <a:defRPr sz="1000" b="0" strike="noStrike" spc="-1">
                    <a:solidFill>
                      <a:srgbClr val="000000"/>
                    </a:solidFill>
                    <a:latin typeface="Calibri"/>
                  </a:defRPr>
                </a:pPr>
                <a:endParaRPr lang="pt-P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'ASVS Results'!$A$2:$A$16</c:f>
              <c:strCache>
                <c:ptCount val="15"/>
                <c:pt idx="0">
                  <c:v>Architecture, Design and Threat Modeling</c:v>
                </c:pt>
                <c:pt idx="1">
                  <c:v>Authentication</c:v>
                </c:pt>
                <c:pt idx="2">
                  <c:v>Session Management</c:v>
                </c:pt>
                <c:pt idx="3">
                  <c:v>Access Control</c:v>
                </c:pt>
                <c:pt idx="4">
                  <c:v>Validation, Sanitization and Encoding</c:v>
                </c:pt>
                <c:pt idx="5">
                  <c:v>Stored Cryptography</c:v>
                </c:pt>
                <c:pt idx="6">
                  <c:v>Error Handling and Logging</c:v>
                </c:pt>
                <c:pt idx="7">
                  <c:v>Data Protection</c:v>
                </c:pt>
                <c:pt idx="8">
                  <c:v>Communication</c:v>
                </c:pt>
                <c:pt idx="9">
                  <c:v>Malicious Code</c:v>
                </c:pt>
                <c:pt idx="10">
                  <c:v>Business Logic</c:v>
                </c:pt>
                <c:pt idx="11">
                  <c:v>Files and Resources</c:v>
                </c:pt>
                <c:pt idx="12">
                  <c:v>API and Web Service</c:v>
                </c:pt>
                <c:pt idx="13">
                  <c:v>Configuration</c:v>
                </c:pt>
                <c:pt idx="14">
                  <c:v>Total</c:v>
                </c:pt>
              </c:strCache>
            </c:strRef>
          </c:cat>
          <c:val>
            <c:numRef>
              <c:f>'ASVS Results'!$D$2:$D$16</c:f>
              <c:numCache>
                <c:formatCode>#\ ##0.00\ _€;\-#\ ##0.00\ _€</c:formatCode>
                <c:ptCount val="15"/>
                <c:pt idx="0">
                  <c:v>89.65517241379311</c:v>
                </c:pt>
                <c:pt idx="1">
                  <c:v>57.142857142857139</c:v>
                </c:pt>
                <c:pt idx="2">
                  <c:v>0</c:v>
                </c:pt>
                <c:pt idx="3">
                  <c:v>100</c:v>
                </c:pt>
                <c:pt idx="4">
                  <c:v>62.5</c:v>
                </c:pt>
                <c:pt idx="5">
                  <c:v>0</c:v>
                </c:pt>
                <c:pt idx="6">
                  <c:v>100</c:v>
                </c:pt>
                <c:pt idx="7">
                  <c:v>55.555555555555557</c:v>
                </c:pt>
                <c:pt idx="8">
                  <c:v>100</c:v>
                </c:pt>
                <c:pt idx="9">
                  <c:v>100</c:v>
                </c:pt>
                <c:pt idx="10">
                  <c:v>100</c:v>
                </c:pt>
                <c:pt idx="11">
                  <c:v>0</c:v>
                </c:pt>
                <c:pt idx="12">
                  <c:v>71.428571428571431</c:v>
                </c:pt>
                <c:pt idx="13">
                  <c:v>0</c:v>
                </c:pt>
                <c:pt idx="14">
                  <c:v>49.132947976878611</c:v>
                </c:pt>
              </c:numCache>
            </c:numRef>
          </c:val>
          <c:extLst>
            <c:ext xmlns:c16="http://schemas.microsoft.com/office/drawing/2014/chart" uri="{C3380CC4-5D6E-409C-BE32-E72D297353CC}">
              <c16:uniqueId val="{00000000-B1BB-483A-9113-E427FD465C9C}"/>
            </c:ext>
          </c:extLst>
        </c:ser>
        <c:dLbls>
          <c:showLegendKey val="0"/>
          <c:showVal val="0"/>
          <c:showCatName val="0"/>
          <c:showSerName val="0"/>
          <c:showPercent val="0"/>
          <c:showBubbleSize val="0"/>
        </c:dLbls>
        <c:axId val="17923522"/>
        <c:axId val="74048637"/>
      </c:radarChart>
      <c:catAx>
        <c:axId val="17923522"/>
        <c:scaling>
          <c:orientation val="minMax"/>
        </c:scaling>
        <c:delete val="0"/>
        <c:axPos val="b"/>
        <c:majorGridlines>
          <c:spPr>
            <a:ln w="9360">
              <a:solidFill>
                <a:srgbClr val="878787"/>
              </a:solidFill>
              <a:round/>
            </a:ln>
          </c:spPr>
        </c:majorGridlines>
        <c:numFmt formatCode="General" sourceLinked="1"/>
        <c:majorTickMark val="out"/>
        <c:minorTickMark val="none"/>
        <c:tickLblPos val="nextTo"/>
        <c:spPr>
          <a:ln w="9360">
            <a:noFill/>
          </a:ln>
        </c:spPr>
        <c:txPr>
          <a:bodyPr/>
          <a:lstStyle/>
          <a:p>
            <a:pPr>
              <a:defRPr sz="1000" b="0" strike="noStrike" spc="-1">
                <a:solidFill>
                  <a:srgbClr val="000000"/>
                </a:solidFill>
                <a:latin typeface="Calibri"/>
              </a:defRPr>
            </a:pPr>
            <a:endParaRPr lang="pt-PT"/>
          </a:p>
        </c:txPr>
        <c:crossAx val="74048637"/>
        <c:crosses val="autoZero"/>
        <c:auto val="1"/>
        <c:lblAlgn val="ctr"/>
        <c:lblOffset val="100"/>
        <c:noMultiLvlLbl val="0"/>
      </c:catAx>
      <c:valAx>
        <c:axId val="74048637"/>
        <c:scaling>
          <c:orientation val="minMax"/>
        </c:scaling>
        <c:delete val="0"/>
        <c:axPos val="l"/>
        <c:majorGridlines>
          <c:spPr>
            <a:ln w="9360">
              <a:solidFill>
                <a:srgbClr val="878787"/>
              </a:solidFill>
              <a:round/>
            </a:ln>
          </c:spPr>
        </c:majorGridlines>
        <c:numFmt formatCode="#,##0.00\ ;\(#,##0.00\)" sourceLinked="0"/>
        <c:majorTickMark val="cross"/>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PT"/>
          </a:p>
        </c:txPr>
        <c:crossAx val="17923522"/>
        <c:crosses val="autoZero"/>
        <c:crossBetween val="midCat"/>
      </c:valAx>
      <c:spPr>
        <a:solidFill>
          <a:srgbClr val="FFFFFF"/>
        </a:solidFill>
        <a:ln>
          <a:noFill/>
        </a:ln>
      </c:spPr>
    </c:plotArea>
    <c:legend>
      <c:legendPos val="r"/>
      <c:overlay val="0"/>
      <c:spPr>
        <a:noFill/>
        <a:ln>
          <a:noFill/>
        </a:ln>
      </c:spPr>
      <c:txPr>
        <a:bodyPr/>
        <a:lstStyle/>
        <a:p>
          <a:pPr>
            <a:defRPr sz="1000" b="0" strike="noStrike" spc="-1">
              <a:solidFill>
                <a:srgbClr val="000000"/>
              </a:solidFill>
              <a:latin typeface="Calibri"/>
            </a:defRPr>
          </a:pPr>
          <a:endParaRPr lang="pt-PT"/>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26280</xdr:rowOff>
    </xdr:from>
    <xdr:to>
      <xdr:col>4</xdr:col>
      <xdr:colOff>1719000</xdr:colOff>
      <xdr:row>51</xdr:row>
      <xdr:rowOff>25560</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C062FF-5151-46E2-85AB-B50359D15FF2}">
  <we:reference id="44446093-b465-4d6c-a6dc-5faf6de98677" version="2.5.5.0" store="EXCatalog" storeType="EXCatalog"/>
  <we:alternateReferences>
    <we:reference id="WA200005271" version="2.5.5.0" store="pt-PT"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IsepMartimOliveira/desofs2025_wed_ffs_4/blob/docs/phase1/src/main/java/com/example/psoft_22_23_project/configuration/SecurityConfig.java" TargetMode="External"/><Relationship Id="rId3" Type="http://schemas.openxmlformats.org/officeDocument/2006/relationships/hyperlink" Target="https://github.com/IsepMartimOliveira/desofs2025_wed_ffs_4/blob/docs/phase1/src/main/java/com/example/psoft_22_23_project/api/AuthApi.java" TargetMode="External"/><Relationship Id="rId7" Type="http://schemas.openxmlformats.org/officeDocument/2006/relationships/hyperlink" Target="https://github.com/IsepMartimOliveira/desofs2025_wed_ffs_4/blob/docs/phase1/src/main/java/com/example/psoft_22_23_project/configuration/SecurityConfig.java" TargetMode="External"/><Relationship Id="rId2" Type="http://schemas.openxmlformats.org/officeDocument/2006/relationships/hyperlink" Target="https://github.com/IsepMartimOliveira/desofs2025_wed_ffs_4/blob/docs/phase1/src/main/java/com/example/psoft_22_23_project/configuration/SecurityConfig.java" TargetMode="External"/><Relationship Id="rId1" Type="http://schemas.openxmlformats.org/officeDocument/2006/relationships/hyperlink" Target="https://github.com/IsepMartimOliveira/desofs2025_wed_ffs_4/blob/docs/phase1/src/main/java/com/example/psoft_22_23_project/api/AuthApi.java" TargetMode="External"/><Relationship Id="rId6" Type="http://schemas.openxmlformats.org/officeDocument/2006/relationships/hyperlink" Target="https://github.com/IsepMartimOliveira/desofs2025_wed_ffs_4/blob/docs/phase1/src/main/java/com/example/psoft_22_23_project/configuration/SecurityConfig.java" TargetMode="External"/><Relationship Id="rId5" Type="http://schemas.openxmlformats.org/officeDocument/2006/relationships/hyperlink" Target="https://github.com/IsepMartimOliveira/desofs2025_wed_ffs_4/blob/docs/phase1/src/main/java/com/example/psoft_22_23_project/configuration/SecurityConfig.java" TargetMode="External"/><Relationship Id="rId10" Type="http://schemas.openxmlformats.org/officeDocument/2006/relationships/hyperlink" Target="https://github.com/IsepMartimOliveira/desofs2025_wed_ffs_4/blob/main/src/main/java/com/example/psoft_22_23_project/subscriptionsmanagement/services/SubscriptionsServiceImpl.java" TargetMode="External"/><Relationship Id="rId4" Type="http://schemas.openxmlformats.org/officeDocument/2006/relationships/hyperlink" Target="https://github.com/IsepMartimOliveira/desofs2025_wed_ffs_4/blob/docs/phase1/src/main/java/com/example/psoft_22_23_project/configuration/SecurityConfig.java" TargetMode="External"/><Relationship Id="rId9" Type="http://schemas.openxmlformats.org/officeDocument/2006/relationships/hyperlink" Target="https://github.com/IsepMartimOliveira/desofs2025_wed_ffs_4/blob/docs/phase1/src/main/java/com/example/psoft_22_23_project/configuration/SecurityConfig.jav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IsepMartimOliveira/desofs2025_wed_ffs_4/blob/main/src/main/java/com/example/psoft_22_23_project/usermanagement/api/CreateUserRequest.java"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java/com/example/psoft_22_23_project/configuration/SecurityConfig.java" TargetMode="External"/><Relationship Id="rId1" Type="http://schemas.openxmlformats.org/officeDocument/2006/relationships/hyperlink" Target="https://github.com/IsepMartimOliveira/desofs2025_wed_ffs_4/blob/main/src/main/java/com/example/psoft_22_23_project/configuration/SecurityConfig.java" TargetMode="External"/><Relationship Id="rId5" Type="http://schemas.openxmlformats.org/officeDocument/2006/relationships/hyperlink" Target="https://github.com/IsepMartimOliveira/desofs2025_wed_ffs_4/blob/main/src/main/java/com/example/psoft_22_23_project/configuration/SecurityConfig.java" TargetMode="External"/><Relationship Id="rId4" Type="http://schemas.openxmlformats.org/officeDocument/2006/relationships/hyperlink" Target="https://github.com/IsepMartimOliveira/desofs2025_wed_ffs_4/blob/main/src/main/java/com/example/psoft_22_23_project/configuration/SecurityConfig.java"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IsepMartimOliveira/desofs2025_wed_ffs_4/blob/main/src/main/java/com/example/psoft_22_23_project/filestoragemanagement/sanitize/SanitizeImage.java" TargetMode="External"/><Relationship Id="rId3" Type="http://schemas.openxmlformats.org/officeDocument/2006/relationships/hyperlink" Target="https://github.com/IsepMartimOliveira/desofs2025_wed_ffs_4/blob/main/src/main/java/com/example/psoft_22_23_project/plansmanagement/api/PlansController.java" TargetMode="External"/><Relationship Id="rId7" Type="http://schemas.openxmlformats.org/officeDocument/2006/relationships/hyperlink" Target="https://github.com/IsepMartimOliveira/desofs2025_wed_ffs_4/blob/main/src/main/java/com/example/psoft_22_23_project/filestoragemanagement/sanitize/SanitizeImage.java" TargetMode="External"/><Relationship Id="rId2" Type="http://schemas.openxmlformats.org/officeDocument/2006/relationships/hyperlink" Target="https://github.com/IsepMartimOliveira/desofs2025_wed_ffs_4/blob/main/src/main/java/com/example/psoft_22_23_project/usermanagement/api/CreateUserRequest.java" TargetMode="External"/><Relationship Id="rId1" Type="http://schemas.openxmlformats.org/officeDocument/2006/relationships/hyperlink" Target="https://github.com/IsepMartimOliveira/desofs2025_wed_ffs_4/blob/main/src/main/java/com/example/psoft_22_23_project/configuration/SecurityConfig.java" TargetMode="External"/><Relationship Id="rId6" Type="http://schemas.openxmlformats.org/officeDocument/2006/relationships/hyperlink" Target="https://github.com/IsepMartimOliveira/desofs2025_wed_ffs_4/blob/main/src/main/java/com/example/psoft_22_23_project/filestoragemanagement/sanitize/SanitizeImage.java" TargetMode="External"/><Relationship Id="rId11" Type="http://schemas.openxmlformats.org/officeDocument/2006/relationships/hyperlink" Target="https://github.com/IsepMartimOliveira/desofs2025_wed_ffs_4/blob/main/src/main/java/com/example/psoft_22_23_project/configuration/SecurityConfig.java" TargetMode="External"/><Relationship Id="rId5" Type="http://schemas.openxmlformats.org/officeDocument/2006/relationships/hyperlink" Target="https://github.com/IsepMartimOliveira/desofs2025_wed_ffs_4/blob/main/src/main/java/com/example/psoft_22_23_project/usermanagement/model/User.java" TargetMode="External"/><Relationship Id="rId10" Type="http://schemas.openxmlformats.org/officeDocument/2006/relationships/hyperlink" Target="https://github.com/IsepMartimOliveira/desofs2025_wed_ffs_4/blob/main/src/main/java/com/example/psoft_22_23_project/filestoragemanagement/sanitize/SanitizeImage.java" TargetMode="External"/><Relationship Id="rId4" Type="http://schemas.openxmlformats.org/officeDocument/2006/relationships/hyperlink" Target="https://github.com/IsepMartimOliveira/desofs2025_wed_ffs_4/blob/main/src/main/java/com/example/psoft_22_23_project/plansmanagement/api/CreatePlanRequest.java" TargetMode="External"/><Relationship Id="rId9" Type="http://schemas.openxmlformats.org/officeDocument/2006/relationships/hyperlink" Target="https://github.com/IsepMartimOliveira/desofs2025_wed_ffs_4/blob/main/src/main/java/com/example/psoft_22_23_project/plansmanagement/repositories/PlansRepository.java"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api/AuthApi.java" TargetMode="External"/><Relationship Id="rId2" Type="http://schemas.openxmlformats.org/officeDocument/2006/relationships/hyperlink" Target="https://github.com/IsepMartimOliveira/desofs2025_wed_ffs_4/blob/main/src/main/java/com/example/psoft_22_23_project/api/AuthApi.java" TargetMode="External"/><Relationship Id="rId1" Type="http://schemas.openxmlformats.org/officeDocument/2006/relationships/hyperlink" Target="https://github.com/IsepMartimOliveira/desofs2025_wed_ffs_4/blob/main/src/main/java/com/example/psoft_22_23_project/api/AuthApi.java" TargetMode="External"/><Relationship Id="rId6" Type="http://schemas.openxmlformats.org/officeDocument/2006/relationships/hyperlink" Target="https://github.com/IsepMartimOliveira/desofs2025_wed_ffs_4/blob/main/src/main/java/com/example/psoft_22_23_project/exceptions/GlobalExceptionHandler.java" TargetMode="External"/><Relationship Id="rId5" Type="http://schemas.openxmlformats.org/officeDocument/2006/relationships/hyperlink" Target="https://github.com/IsepMartimOliveira/desofs2025_wed_ffs_4/blob/main/src/main/java/com/example/psoft_22_23_project/api/AuthApi.java" TargetMode="External"/><Relationship Id="rId4" Type="http://schemas.openxmlformats.org/officeDocument/2006/relationships/hyperlink" Target="https://github.com/IsepMartimOliveira/desofs2025_wed_ffs_4/blob/main/src/main/java/com/example/psoft_22_23_project/api/AuthApi.jav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IsepMartimOliveira/desofs2025_wed_ffs_4/blob/Authentication/src/main/java/com/example/psoft_22_23_project/usermanagement/api/UserController.java"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resources/application.properties" TargetMode="External"/><Relationship Id="rId2" Type="http://schemas.openxmlformats.org/officeDocument/2006/relationships/hyperlink" Target="https://github.com/IsepMartimOliveira/desofs2025_wed_ffs_4/blob/main/src/main/resources/application.properties" TargetMode="External"/><Relationship Id="rId1" Type="http://schemas.openxmlformats.org/officeDocument/2006/relationships/hyperlink" Target="https://github.com/IsepMartimOliveira/desofs2025_wed_ffs_4/blob/main/src/main/resources/application.properties" TargetMode="External"/><Relationship Id="rId5" Type="http://schemas.openxmlformats.org/officeDocument/2006/relationships/hyperlink" Target="https://github.com/IsepMartimOliveira/desofs2025_wed_ffs_4/blob/main/src/main/resources/application.properties" TargetMode="External"/><Relationship Id="rId4" Type="http://schemas.openxmlformats.org/officeDocument/2006/relationships/hyperlink" Target="https://github.com/IsepMartimOliveira/desofs2025_wed_ffs_4/blob/main/src/main/resources/application.propertie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resources/application.properties" TargetMode="External"/><Relationship Id="rId1" Type="http://schemas.openxmlformats.org/officeDocument/2006/relationships/hyperlink" Target="https://github.com/IsepMartimOliveira/desofs2025_wed_ffs_4/blob/main/pom.xml"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github.com/IsepMartimOliveira/desofs2025_wed_ffs_4/blob/60685731027efced577ee73517a2d84a07e1e639/src/main/java/com/example/psoft_22_23_project/api/AuthApi.java" TargetMode="External"/><Relationship Id="rId2" Type="http://schemas.openxmlformats.org/officeDocument/2006/relationships/hyperlink" Target="https://github.com/IsepMartimOliveira/desofs2025_wed_ffs_4/blob/60685731027efced577ee73517a2d84a07e1e639/src/main/java/com/example/psoft_22_23_project/api/AuthApi.java" TargetMode="External"/><Relationship Id="rId1" Type="http://schemas.openxmlformats.org/officeDocument/2006/relationships/hyperlink" Target="https://github.com/IsepMartimOliveira/desofs2025_wed_ffs_4/blob/60685731027efced577ee73517a2d84a07e1e639/src/main/java/com/example/psoft_22_23_project/devicemanagement/services/DeviceServiceImpl.java" TargetMode="External"/><Relationship Id="rId6" Type="http://schemas.openxmlformats.org/officeDocument/2006/relationships/hyperlink" Target="https://github.com/IsepMartimOliveira/desofs2025_wed_ffs_4/blob/main/src/main/java/com/example/psoft_22_23_project/subscriptionsmanagement/services/SubscriptionsServiceImpl.java" TargetMode="External"/><Relationship Id="rId5" Type="http://schemas.openxmlformats.org/officeDocument/2006/relationships/hyperlink" Target="https://github.com/IsepMartimOliveira/desofs2025_wed_ffs_4/blob/60685731027efced577ee73517a2d84a07e1e639/src/main/java/com/example/psoft_22_23_project/api/AuthApi.java" TargetMode="External"/><Relationship Id="rId4" Type="http://schemas.openxmlformats.org/officeDocument/2006/relationships/hyperlink" Target="https://github.com/IsepMartimOliveira/desofs2025_wed_ffs_4/blob/60685731027efced577ee73517a2d84a07e1e639/src/main/java/com/example/psoft_22_23_project/api/AuthApi.java"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github.com/IsepMartimOliveira/desofs2025_wed_ffs_4/blob/main/src/main/java/com/example/psoft_22_23_project/configuration/SecurityConfig.java" TargetMode="External"/><Relationship Id="rId2" Type="http://schemas.openxmlformats.org/officeDocument/2006/relationships/hyperlink" Target="https://github.com/IsepMartimOliveira/desofs2025_wed_ffs_4/blob/main/src/main/java/com/example/psoft_22_23_project/plansmanagement/api/PlansController.java" TargetMode="External"/><Relationship Id="rId1" Type="http://schemas.openxmlformats.org/officeDocument/2006/relationships/hyperlink" Target="https://github.com/IsepMartimOliveira/desofs2025_wed_ffs_4/blob/main/src/main/resources/application.properties" TargetMode="External"/><Relationship Id="rId5" Type="http://schemas.openxmlformats.org/officeDocument/2006/relationships/hyperlink" Target="https://github.com/IsepMartimOliveira/desofs2025_wed_ffs_4/blob/main/src/main/java/com/example/psoft_22_23_project/plansmanagement/api/CreatePlanRequest.java" TargetMode="External"/><Relationship Id="rId4" Type="http://schemas.openxmlformats.org/officeDocument/2006/relationships/hyperlink" Target="https://github.com/IsepMartimOliveira/desofs2025_wed_ffs_4/blob/main/src/main/java/com/example/psoft_22_23_project/configuration/SecurityConfig.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topLeftCell="A26" zoomScale="95" zoomScaleNormal="95" workbookViewId="0">
      <selection activeCell="E24" sqref="E24"/>
    </sheetView>
  </sheetViews>
  <sheetFormatPr baseColWidth="10" defaultColWidth="8.6640625" defaultRowHeight="21"/>
  <cols>
    <col min="1" max="1" width="64.33203125" style="4" customWidth="1"/>
    <col min="2" max="2" width="23.33203125" style="5" customWidth="1"/>
    <col min="3" max="3" width="21" style="5" customWidth="1"/>
    <col min="4" max="4" width="25" style="5" customWidth="1"/>
    <col min="5" max="5" width="37" style="5" customWidth="1"/>
    <col min="6" max="1024" width="8.6640625" style="5"/>
  </cols>
  <sheetData>
    <row r="1" spans="1:6" s="8" customFormat="1" ht="22">
      <c r="A1" s="6" t="s">
        <v>0</v>
      </c>
      <c r="B1" s="7" t="s">
        <v>1</v>
      </c>
      <c r="C1" s="7" t="s">
        <v>2</v>
      </c>
      <c r="D1" s="7" t="s">
        <v>3</v>
      </c>
      <c r="E1" s="7" t="s">
        <v>4</v>
      </c>
    </row>
    <row r="2" spans="1:6" s="14" customFormat="1">
      <c r="A2" s="9" t="s">
        <v>5</v>
      </c>
      <c r="B2" s="10">
        <f>0+COUNTIF('Architecture, Design and Threat'!G2:G45,"Valid")</f>
        <v>26</v>
      </c>
      <c r="C2" s="11">
        <f>COUNTIF('Architecture, Design and Threat'!G2:G45,"&lt;&gt;Not Applicable")</f>
        <v>29</v>
      </c>
      <c r="D2" s="12">
        <f t="shared" ref="D2:D16" si="0">(B2/C2)*100</f>
        <v>89.65517241379311</v>
      </c>
      <c r="E2" s="13"/>
    </row>
    <row r="3" spans="1:6">
      <c r="A3" s="9" t="s">
        <v>6</v>
      </c>
      <c r="B3" s="10">
        <f>COUNTIF(Authentication!G2:G58,"Valid")</f>
        <v>8</v>
      </c>
      <c r="C3" s="11">
        <f>COUNTIF(Authentication!G2:G58,"&lt;&gt;Not Applicable")</f>
        <v>14</v>
      </c>
      <c r="D3" s="12">
        <f t="shared" si="0"/>
        <v>57.142857142857139</v>
      </c>
      <c r="E3" s="13"/>
    </row>
    <row r="4" spans="1:6">
      <c r="A4" s="9" t="s">
        <v>7</v>
      </c>
      <c r="B4" s="10">
        <f>COUNTIF('Session Management'!G2:G21,"Valid")</f>
        <v>0</v>
      </c>
      <c r="C4" s="11">
        <f>COUNTIF('Session Management'!G2:G21,"&lt;&gt;Not Applicable")</f>
        <v>20</v>
      </c>
      <c r="D4" s="12">
        <f t="shared" si="0"/>
        <v>0</v>
      </c>
      <c r="E4" s="13"/>
    </row>
    <row r="5" spans="1:6">
      <c r="A5" s="9" t="s">
        <v>8</v>
      </c>
      <c r="B5" s="10">
        <f>COUNTIF('Access Control'!G2:G11,"Valid")</f>
        <v>5</v>
      </c>
      <c r="C5" s="11">
        <f>COUNTIF('Access Control'!G2:G11,"&lt;&gt;Not Applicable")</f>
        <v>5</v>
      </c>
      <c r="D5" s="12">
        <f t="shared" si="0"/>
        <v>100</v>
      </c>
      <c r="E5" s="13"/>
    </row>
    <row r="6" spans="1:6">
      <c r="A6" s="9" t="s">
        <v>9</v>
      </c>
      <c r="B6" s="10">
        <f>COUNTIF('Validation, Sanitization and En'!G2:G31,"Valid")</f>
        <v>10</v>
      </c>
      <c r="C6" s="11">
        <f>COUNTIF('Validation, Sanitization and En'!G2:G31,"&lt;&gt;Not Applicable")</f>
        <v>16</v>
      </c>
      <c r="D6" s="12">
        <f t="shared" si="0"/>
        <v>62.5</v>
      </c>
      <c r="E6" s="13"/>
    </row>
    <row r="7" spans="1:6">
      <c r="A7" s="9" t="s">
        <v>10</v>
      </c>
      <c r="B7" s="10">
        <f>COUNTIF('Stored Cryptography'!G2:G17,"Valid")</f>
        <v>0</v>
      </c>
      <c r="C7" s="11">
        <f>COUNTIF('Stored Cryptography'!G2:G17,"&lt;&gt;Not Applicable")</f>
        <v>16</v>
      </c>
      <c r="D7" s="12">
        <f t="shared" si="0"/>
        <v>0</v>
      </c>
      <c r="E7" s="13"/>
      <c r="F7" s="15"/>
    </row>
    <row r="8" spans="1:6">
      <c r="A8" s="9" t="s">
        <v>11</v>
      </c>
      <c r="B8" s="10">
        <f>COUNTIF('Error Handling and Logging'!G2:G14,"Valid")</f>
        <v>10</v>
      </c>
      <c r="C8" s="11">
        <f>COUNTIF('Error Handling and Logging'!G2:G14,"&lt;&gt;Not Applicable")</f>
        <v>10</v>
      </c>
      <c r="D8" s="12">
        <f t="shared" si="0"/>
        <v>100</v>
      </c>
      <c r="E8" s="13"/>
    </row>
    <row r="9" spans="1:6">
      <c r="A9" s="9" t="s">
        <v>12</v>
      </c>
      <c r="B9" s="10">
        <f>COUNTIF('Data Protection'!G2:G18,"Valid")</f>
        <v>5</v>
      </c>
      <c r="C9" s="11">
        <f>COUNTIF('Data Protection'!G2:G18,"&lt;&gt;Not Applicable")</f>
        <v>9</v>
      </c>
      <c r="D9" s="12">
        <f t="shared" si="0"/>
        <v>55.555555555555557</v>
      </c>
      <c r="E9" s="13"/>
    </row>
    <row r="10" spans="1:6">
      <c r="A10" s="9" t="s">
        <v>13</v>
      </c>
      <c r="B10" s="10">
        <f>COUNTIF(Communication!G2:G9,"Valid")</f>
        <v>6</v>
      </c>
      <c r="C10" s="11">
        <f>COUNTIF(Communication!G2:G9,"&lt;&gt;Not Applicable")</f>
        <v>6</v>
      </c>
      <c r="D10" s="12">
        <f t="shared" si="0"/>
        <v>100</v>
      </c>
      <c r="E10" s="13"/>
    </row>
    <row r="11" spans="1:6">
      <c r="A11" s="9" t="s">
        <v>14</v>
      </c>
      <c r="B11" s="10">
        <f>COUNTIF('Malicious Code'!G2:G11,"Valid")</f>
        <v>4</v>
      </c>
      <c r="C11" s="11">
        <f>COUNTIF('Malicious Code'!G2:G11,"&lt;&gt;Not Applicable")</f>
        <v>4</v>
      </c>
      <c r="D11" s="12">
        <f t="shared" si="0"/>
        <v>100</v>
      </c>
      <c r="E11" s="13"/>
    </row>
    <row r="12" spans="1:6">
      <c r="A12" s="9" t="s">
        <v>15</v>
      </c>
      <c r="B12" s="10">
        <f>COUNTIF('Business Logic'!G2:G9,"Valid")</f>
        <v>6</v>
      </c>
      <c r="C12" s="11">
        <f>COUNTIF('Business Logic'!G2:G9,"&lt;&gt;Not Applicable")</f>
        <v>6</v>
      </c>
      <c r="D12" s="12">
        <f t="shared" si="0"/>
        <v>100</v>
      </c>
      <c r="E12" s="13"/>
    </row>
    <row r="13" spans="1:6">
      <c r="A13" s="9" t="s">
        <v>16</v>
      </c>
      <c r="B13" s="10">
        <f>COUNTIF('Files and Resources'!G2:G16,"Valid")</f>
        <v>0</v>
      </c>
      <c r="C13" s="11">
        <f>COUNTIF('Files and Resources'!G2:G16,"&lt;&gt;Not Applicable")</f>
        <v>7</v>
      </c>
      <c r="D13" s="12">
        <f t="shared" si="0"/>
        <v>0</v>
      </c>
      <c r="E13" s="13"/>
    </row>
    <row r="14" spans="1:6">
      <c r="A14" s="9" t="s">
        <v>17</v>
      </c>
      <c r="B14" s="10">
        <f>COUNTIF('API and Web Service'!G2:G16,"Valid")</f>
        <v>5</v>
      </c>
      <c r="C14" s="11">
        <f>COUNTIF('API and Web Service'!G2:G16,"&lt;&gt;Not Applicable")</f>
        <v>7</v>
      </c>
      <c r="D14" s="12">
        <f t="shared" si="0"/>
        <v>71.428571428571431</v>
      </c>
      <c r="E14" s="13"/>
    </row>
    <row r="15" spans="1:6">
      <c r="A15" s="9" t="s">
        <v>18</v>
      </c>
      <c r="B15" s="10">
        <f>COUNTIF(Configuration!G2:G26,"Valid")</f>
        <v>0</v>
      </c>
      <c r="C15" s="11">
        <f>COUNTIF(Configuration!G2:G26,"&lt;&gt;Not Applicable")</f>
        <v>24</v>
      </c>
      <c r="D15" s="12">
        <f t="shared" si="0"/>
        <v>0</v>
      </c>
      <c r="E15" s="13"/>
    </row>
    <row r="16" spans="1:6">
      <c r="A16" s="9" t="s">
        <v>19</v>
      </c>
      <c r="B16" s="10">
        <f>SUM(B2:B15)</f>
        <v>85</v>
      </c>
      <c r="C16" s="11">
        <f>SUM(C2:C15)</f>
        <v>173</v>
      </c>
      <c r="D16" s="12">
        <f t="shared" si="0"/>
        <v>49.132947976878611</v>
      </c>
      <c r="E16" s="13"/>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6"/>
  <sheetViews>
    <sheetView topLeftCell="A22" zoomScale="73" zoomScaleNormal="85" workbookViewId="0">
      <selection activeCell="F14" sqref="F14"/>
    </sheetView>
  </sheetViews>
  <sheetFormatPr baseColWidth="10" defaultColWidth="8.6640625" defaultRowHeight="21"/>
  <cols>
    <col min="1" max="1" width="35.5" style="4" customWidth="1"/>
    <col min="2" max="2" width="8.6640625" style="16"/>
    <col min="3" max="3" width="10.6640625" style="16" customWidth="1"/>
    <col min="4" max="5" width="8.6640625" style="16"/>
    <col min="6" max="6" width="60.6640625" style="16" customWidth="1"/>
    <col min="7" max="7" width="19.1640625" style="16" customWidth="1"/>
    <col min="8" max="8" width="36" style="16" customWidth="1"/>
    <col min="9" max="9" width="31.6640625" style="16" customWidth="1"/>
    <col min="10" max="10" width="41.6640625" style="16" customWidth="1"/>
    <col min="11" max="1024" width="8.6640625" style="16"/>
  </cols>
  <sheetData>
    <row r="1" spans="1:10" s="4" customFormat="1" ht="44">
      <c r="A1" s="17" t="s">
        <v>20</v>
      </c>
      <c r="B1" s="18" t="s">
        <v>21</v>
      </c>
      <c r="C1" s="19" t="s">
        <v>22</v>
      </c>
      <c r="D1" s="19" t="s">
        <v>23</v>
      </c>
      <c r="E1" s="19" t="s">
        <v>24</v>
      </c>
      <c r="F1" s="18" t="s">
        <v>25</v>
      </c>
      <c r="G1" s="18" t="s">
        <v>26</v>
      </c>
      <c r="H1" s="18" t="s">
        <v>27</v>
      </c>
      <c r="I1" s="18" t="s">
        <v>28</v>
      </c>
      <c r="J1" s="18" t="s">
        <v>29</v>
      </c>
    </row>
    <row r="2" spans="1:10" s="26" customFormat="1" ht="58.25" customHeight="1">
      <c r="A2" s="1" t="s">
        <v>30</v>
      </c>
      <c r="B2" s="20" t="s">
        <v>31</v>
      </c>
      <c r="C2" s="21">
        <v>2</v>
      </c>
      <c r="D2" s="22"/>
      <c r="E2" s="23"/>
      <c r="F2" s="24" t="s">
        <v>32</v>
      </c>
      <c r="G2" s="23" t="s">
        <v>26</v>
      </c>
      <c r="H2" s="129" t="s">
        <v>33</v>
      </c>
      <c r="I2" s="129" t="s">
        <v>34</v>
      </c>
      <c r="J2" s="25"/>
    </row>
    <row r="3" spans="1:10" s="26" customFormat="1" ht="136">
      <c r="A3" s="1"/>
      <c r="B3" s="20" t="s">
        <v>35</v>
      </c>
      <c r="C3" s="27">
        <v>2</v>
      </c>
      <c r="D3" s="28">
        <v>1053</v>
      </c>
      <c r="E3" s="29"/>
      <c r="F3" s="30" t="s">
        <v>36</v>
      </c>
      <c r="G3" s="29" t="s">
        <v>26</v>
      </c>
      <c r="H3" s="122" t="s">
        <v>37</v>
      </c>
      <c r="I3" s="123" t="s">
        <v>38</v>
      </c>
      <c r="J3" s="32"/>
    </row>
    <row r="4" spans="1:10" s="26" customFormat="1" ht="68">
      <c r="A4" s="1"/>
      <c r="B4" s="20" t="s">
        <v>39</v>
      </c>
      <c r="C4" s="27">
        <v>2</v>
      </c>
      <c r="D4" s="28">
        <v>1110</v>
      </c>
      <c r="E4" s="29"/>
      <c r="F4" s="30" t="s">
        <v>40</v>
      </c>
      <c r="G4" s="29" t="s">
        <v>26</v>
      </c>
      <c r="H4" s="122" t="s">
        <v>41</v>
      </c>
      <c r="I4" s="123" t="s">
        <v>42</v>
      </c>
      <c r="J4" s="32"/>
    </row>
    <row r="5" spans="1:10" s="26" customFormat="1" ht="68">
      <c r="A5" s="1"/>
      <c r="B5" s="20" t="s">
        <v>43</v>
      </c>
      <c r="C5" s="27">
        <v>2</v>
      </c>
      <c r="D5" s="28">
        <v>1059</v>
      </c>
      <c r="E5" s="29"/>
      <c r="F5" s="30" t="s">
        <v>44</v>
      </c>
      <c r="G5" s="29" t="s">
        <v>26</v>
      </c>
      <c r="H5" s="122" t="s">
        <v>45</v>
      </c>
      <c r="I5" s="123" t="s">
        <v>46</v>
      </c>
      <c r="J5" s="32"/>
    </row>
    <row r="6" spans="1:10" s="26" customFormat="1" ht="68">
      <c r="A6" s="1"/>
      <c r="B6" s="20" t="s">
        <v>47</v>
      </c>
      <c r="C6" s="27">
        <v>2</v>
      </c>
      <c r="D6" s="28">
        <v>1059</v>
      </c>
      <c r="E6" s="29"/>
      <c r="F6" s="30" t="s">
        <v>48</v>
      </c>
      <c r="G6" s="29" t="s">
        <v>26</v>
      </c>
      <c r="H6" s="122" t="s">
        <v>41</v>
      </c>
      <c r="I6" s="123" t="s">
        <v>49</v>
      </c>
      <c r="J6" s="32"/>
    </row>
    <row r="7" spans="1:10" s="26" customFormat="1" ht="85">
      <c r="A7" s="1"/>
      <c r="B7" s="20" t="s">
        <v>50</v>
      </c>
      <c r="C7" s="27">
        <v>2</v>
      </c>
      <c r="D7" s="28">
        <v>637</v>
      </c>
      <c r="E7" s="29"/>
      <c r="F7" s="30" t="s">
        <v>51</v>
      </c>
      <c r="G7" s="29" t="s">
        <v>26</v>
      </c>
      <c r="H7" s="122" t="s">
        <v>52</v>
      </c>
      <c r="I7" s="123" t="s">
        <v>53</v>
      </c>
      <c r="J7" s="32"/>
    </row>
    <row r="8" spans="1:10" s="26" customFormat="1" ht="136">
      <c r="A8" s="1"/>
      <c r="B8" s="20" t="s">
        <v>54</v>
      </c>
      <c r="C8" s="27">
        <v>2</v>
      </c>
      <c r="D8" s="28">
        <v>637</v>
      </c>
      <c r="E8" s="29"/>
      <c r="F8" s="30" t="s">
        <v>55</v>
      </c>
      <c r="G8" s="29" t="s">
        <v>26</v>
      </c>
      <c r="H8" s="122" t="s">
        <v>56</v>
      </c>
      <c r="I8" s="123" t="s">
        <v>57</v>
      </c>
      <c r="J8" s="32"/>
    </row>
    <row r="9" spans="1:10" s="26" customFormat="1" ht="63.75" customHeight="1">
      <c r="A9" s="1" t="s">
        <v>58</v>
      </c>
      <c r="B9" s="20" t="s">
        <v>59</v>
      </c>
      <c r="C9" s="27">
        <v>2</v>
      </c>
      <c r="D9" s="28">
        <v>250</v>
      </c>
      <c r="E9" s="29"/>
      <c r="F9" s="30" t="s">
        <v>60</v>
      </c>
      <c r="G9" s="29" t="s">
        <v>26</v>
      </c>
      <c r="H9" s="122" t="s">
        <v>52</v>
      </c>
      <c r="I9" s="123" t="s">
        <v>61</v>
      </c>
      <c r="J9" s="32"/>
    </row>
    <row r="10" spans="1:10" s="26" customFormat="1" ht="85">
      <c r="A10" s="1"/>
      <c r="B10" s="20" t="s">
        <v>62</v>
      </c>
      <c r="C10" s="27">
        <v>2</v>
      </c>
      <c r="D10" s="28">
        <v>306</v>
      </c>
      <c r="E10" s="29"/>
      <c r="F10" s="30" t="s">
        <v>63</v>
      </c>
      <c r="G10" s="29" t="s">
        <v>26</v>
      </c>
      <c r="H10" s="122" t="s">
        <v>64</v>
      </c>
      <c r="I10" s="123" t="s">
        <v>65</v>
      </c>
      <c r="J10" s="32"/>
    </row>
    <row r="11" spans="1:10" s="26" customFormat="1" ht="68">
      <c r="A11" s="1"/>
      <c r="B11" s="20" t="s">
        <v>66</v>
      </c>
      <c r="C11" s="27">
        <v>2</v>
      </c>
      <c r="D11" s="28">
        <v>306</v>
      </c>
      <c r="E11" s="29"/>
      <c r="F11" s="30" t="s">
        <v>67</v>
      </c>
      <c r="G11" s="29" t="s">
        <v>26</v>
      </c>
      <c r="H11" s="126" t="s">
        <v>64</v>
      </c>
      <c r="I11" s="26" t="s">
        <v>68</v>
      </c>
      <c r="J11" s="32"/>
    </row>
    <row r="12" spans="1:10" s="26" customFormat="1" ht="68">
      <c r="A12" s="1"/>
      <c r="B12" s="20" t="s">
        <v>69</v>
      </c>
      <c r="C12" s="27">
        <v>2</v>
      </c>
      <c r="D12" s="28">
        <v>306</v>
      </c>
      <c r="E12" s="29"/>
      <c r="F12" s="30" t="s">
        <v>70</v>
      </c>
      <c r="G12" s="29" t="s">
        <v>26</v>
      </c>
      <c r="H12" s="124" t="s">
        <v>71</v>
      </c>
      <c r="I12" s="31" t="s">
        <v>72</v>
      </c>
      <c r="J12" s="32"/>
    </row>
    <row r="13" spans="1:10" s="26" customFormat="1" ht="44">
      <c r="A13" s="3" t="s">
        <v>73</v>
      </c>
      <c r="B13" s="20"/>
      <c r="C13" s="27"/>
      <c r="D13" s="28"/>
      <c r="E13" s="29"/>
      <c r="F13" s="30" t="s">
        <v>74</v>
      </c>
      <c r="G13" s="29" t="s">
        <v>75</v>
      </c>
      <c r="H13" s="124"/>
      <c r="I13" s="31"/>
      <c r="J13" s="32"/>
    </row>
    <row r="14" spans="1:10" s="26" customFormat="1" ht="48" customHeight="1">
      <c r="A14" s="1" t="s">
        <v>76</v>
      </c>
      <c r="B14" s="20" t="s">
        <v>77</v>
      </c>
      <c r="C14" s="27">
        <v>2</v>
      </c>
      <c r="D14" s="28">
        <v>602</v>
      </c>
      <c r="E14" s="29"/>
      <c r="F14" s="30" t="s">
        <v>78</v>
      </c>
      <c r="G14" s="29" t="s">
        <v>26</v>
      </c>
      <c r="H14" s="125" t="s">
        <v>64</v>
      </c>
      <c r="I14" s="31" t="s">
        <v>79</v>
      </c>
      <c r="J14" s="33"/>
    </row>
    <row r="15" spans="1:10" s="26" customFormat="1" ht="17">
      <c r="A15" s="1"/>
      <c r="B15" s="20" t="s">
        <v>80</v>
      </c>
      <c r="C15" s="27">
        <v>2</v>
      </c>
      <c r="D15" s="28">
        <v>284</v>
      </c>
      <c r="E15" s="29"/>
      <c r="F15" s="30" t="s">
        <v>81</v>
      </c>
      <c r="G15" s="29" t="s">
        <v>75</v>
      </c>
      <c r="H15" s="29"/>
      <c r="I15" s="29"/>
      <c r="J15" s="33"/>
    </row>
    <row r="16" spans="1:10" s="26" customFormat="1" ht="17">
      <c r="A16" s="1"/>
      <c r="B16" s="20" t="s">
        <v>82</v>
      </c>
      <c r="C16" s="27">
        <v>2</v>
      </c>
      <c r="D16" s="28">
        <v>272</v>
      </c>
      <c r="E16" s="29"/>
      <c r="F16" s="30" t="s">
        <v>83</v>
      </c>
      <c r="G16" s="29" t="s">
        <v>75</v>
      </c>
      <c r="H16" s="29"/>
      <c r="I16" s="29"/>
      <c r="J16" s="33"/>
    </row>
    <row r="17" spans="1:10" s="26" customFormat="1" ht="86" thickBot="1">
      <c r="A17" s="1"/>
      <c r="B17" s="20" t="s">
        <v>84</v>
      </c>
      <c r="C17" s="27">
        <v>2</v>
      </c>
      <c r="D17" s="28">
        <v>284</v>
      </c>
      <c r="E17" s="29"/>
      <c r="F17" s="30" t="s">
        <v>85</v>
      </c>
      <c r="G17" s="29" t="s">
        <v>26</v>
      </c>
      <c r="H17" s="125" t="s">
        <v>71</v>
      </c>
      <c r="I17" s="31" t="s">
        <v>86</v>
      </c>
      <c r="J17" s="33"/>
    </row>
    <row r="18" spans="1:10" s="26" customFormat="1" ht="86" thickBot="1">
      <c r="A18" s="1"/>
      <c r="B18" s="20" t="s">
        <v>87</v>
      </c>
      <c r="C18" s="27">
        <v>2</v>
      </c>
      <c r="D18" s="28">
        <v>275</v>
      </c>
      <c r="E18" s="29"/>
      <c r="F18" s="30" t="s">
        <v>88</v>
      </c>
      <c r="G18" s="29" t="s">
        <v>26</v>
      </c>
      <c r="H18" s="125" t="s">
        <v>89</v>
      </c>
      <c r="I18" s="29" t="s">
        <v>90</v>
      </c>
      <c r="J18" s="33"/>
    </row>
    <row r="19" spans="1:10" s="26" customFormat="1" ht="48" customHeight="1" thickBot="1">
      <c r="A19" s="1" t="s">
        <v>91</v>
      </c>
      <c r="B19" s="20" t="s">
        <v>92</v>
      </c>
      <c r="C19" s="27">
        <v>2</v>
      </c>
      <c r="D19" s="28">
        <v>1029</v>
      </c>
      <c r="E19" s="29"/>
      <c r="F19" s="30" t="s">
        <v>93</v>
      </c>
      <c r="G19" s="29" t="s">
        <v>26</v>
      </c>
      <c r="H19" s="29" t="s">
        <v>94</v>
      </c>
      <c r="I19" s="29" t="s">
        <v>95</v>
      </c>
      <c r="J19" s="33"/>
    </row>
    <row r="20" spans="1:10" s="26" customFormat="1" ht="68">
      <c r="A20" s="1"/>
      <c r="B20" s="20" t="s">
        <v>96</v>
      </c>
      <c r="C20" s="27">
        <v>2</v>
      </c>
      <c r="D20" s="28">
        <v>502</v>
      </c>
      <c r="E20" s="29"/>
      <c r="F20" s="30" t="s">
        <v>97</v>
      </c>
      <c r="G20" s="29" t="s">
        <v>75</v>
      </c>
      <c r="H20" s="29"/>
      <c r="I20" s="29"/>
      <c r="J20" s="33"/>
    </row>
    <row r="21" spans="1:10" s="26" customFormat="1" ht="51">
      <c r="A21" s="1"/>
      <c r="B21" s="20" t="s">
        <v>98</v>
      </c>
      <c r="C21" s="27">
        <v>2</v>
      </c>
      <c r="D21" s="28">
        <v>602</v>
      </c>
      <c r="E21" s="29"/>
      <c r="F21" s="30" t="s">
        <v>99</v>
      </c>
      <c r="G21" s="29" t="s">
        <v>26</v>
      </c>
      <c r="H21" s="29" t="s">
        <v>100</v>
      </c>
      <c r="I21" s="29" t="s">
        <v>101</v>
      </c>
      <c r="J21" s="33"/>
    </row>
    <row r="22" spans="1:10" s="26" customFormat="1" ht="68">
      <c r="A22" s="1"/>
      <c r="B22" s="20" t="s">
        <v>102</v>
      </c>
      <c r="C22" s="27">
        <v>2</v>
      </c>
      <c r="D22" s="28">
        <v>116</v>
      </c>
      <c r="E22" s="29"/>
      <c r="F22" s="30" t="s">
        <v>103</v>
      </c>
      <c r="G22" s="29" t="s">
        <v>75</v>
      </c>
      <c r="H22" s="29"/>
      <c r="I22" s="29"/>
      <c r="J22" s="33"/>
    </row>
    <row r="23" spans="1:10" s="26" customFormat="1" ht="48" customHeight="1">
      <c r="A23" s="1" t="s">
        <v>104</v>
      </c>
      <c r="B23" s="20" t="s">
        <v>105</v>
      </c>
      <c r="C23" s="27">
        <v>2</v>
      </c>
      <c r="D23" s="28">
        <v>320</v>
      </c>
      <c r="E23" s="29"/>
      <c r="F23" s="30" t="s">
        <v>106</v>
      </c>
      <c r="G23" s="29" t="s">
        <v>26</v>
      </c>
      <c r="H23" s="125" t="s">
        <v>64</v>
      </c>
      <c r="I23" s="29" t="s">
        <v>107</v>
      </c>
      <c r="J23" s="33"/>
    </row>
    <row r="24" spans="1:10" s="26" customFormat="1" ht="34">
      <c r="A24" s="1"/>
      <c r="B24" s="20" t="s">
        <v>108</v>
      </c>
      <c r="C24" s="27">
        <v>2</v>
      </c>
      <c r="D24" s="28">
        <v>320</v>
      </c>
      <c r="E24" s="29"/>
      <c r="F24" s="30" t="s">
        <v>109</v>
      </c>
      <c r="G24" s="29" t="s">
        <v>26</v>
      </c>
      <c r="H24" s="125" t="s">
        <v>64</v>
      </c>
      <c r="I24" s="29" t="s">
        <v>107</v>
      </c>
      <c r="J24" s="33"/>
    </row>
    <row r="25" spans="1:10" s="26" customFormat="1" ht="34">
      <c r="A25" s="1"/>
      <c r="B25" s="20" t="s">
        <v>110</v>
      </c>
      <c r="C25" s="27">
        <v>2</v>
      </c>
      <c r="D25" s="28">
        <v>320</v>
      </c>
      <c r="E25" s="29"/>
      <c r="F25" s="30" t="s">
        <v>111</v>
      </c>
      <c r="G25" s="29" t="s">
        <v>112</v>
      </c>
      <c r="H25" s="29"/>
      <c r="I25" s="29"/>
      <c r="J25" s="33"/>
    </row>
    <row r="26" spans="1:10" s="26" customFormat="1" ht="51">
      <c r="A26" s="1"/>
      <c r="B26" s="20" t="s">
        <v>113</v>
      </c>
      <c r="C26" s="27">
        <v>2</v>
      </c>
      <c r="D26" s="28">
        <v>320</v>
      </c>
      <c r="E26" s="29"/>
      <c r="F26" s="31" t="s">
        <v>114</v>
      </c>
      <c r="G26" s="29" t="s">
        <v>75</v>
      </c>
      <c r="H26" s="29"/>
      <c r="I26" s="29"/>
      <c r="J26" s="33"/>
    </row>
    <row r="27" spans="1:10" s="26" customFormat="1" ht="67.5" customHeight="1">
      <c r="A27" s="1" t="s">
        <v>115</v>
      </c>
      <c r="B27" s="20" t="s">
        <v>116</v>
      </c>
      <c r="C27" s="27">
        <v>2</v>
      </c>
      <c r="D27" s="28">
        <v>1009</v>
      </c>
      <c r="E27" s="29"/>
      <c r="F27" s="30" t="s">
        <v>117</v>
      </c>
      <c r="G27" s="29" t="s">
        <v>75</v>
      </c>
      <c r="H27" s="29"/>
      <c r="I27" s="29"/>
      <c r="J27" s="33"/>
    </row>
    <row r="28" spans="1:10" s="26" customFormat="1" ht="68">
      <c r="A28" s="1"/>
      <c r="B28" s="20" t="s">
        <v>118</v>
      </c>
      <c r="C28" s="27">
        <v>2</v>
      </c>
      <c r="D28" s="28"/>
      <c r="E28" s="29"/>
      <c r="F28" s="30" t="s">
        <v>119</v>
      </c>
      <c r="G28" s="29" t="s">
        <v>75</v>
      </c>
      <c r="H28" s="29"/>
      <c r="I28" s="29"/>
      <c r="J28" s="33"/>
    </row>
    <row r="29" spans="1:10" s="26" customFormat="1" ht="32.25" customHeight="1">
      <c r="A29" s="1" t="s">
        <v>120</v>
      </c>
      <c r="B29" s="20" t="s">
        <v>121</v>
      </c>
      <c r="C29" s="27">
        <v>2</v>
      </c>
      <c r="D29" s="28"/>
      <c r="E29" s="29"/>
      <c r="F29" s="30" t="s">
        <v>122</v>
      </c>
      <c r="G29" s="29" t="s">
        <v>75</v>
      </c>
      <c r="H29" s="29"/>
      <c r="I29" s="29"/>
      <c r="J29" s="33"/>
    </row>
    <row r="30" spans="1:10" s="26" customFormat="1" ht="80.25" customHeight="1">
      <c r="A30" s="1"/>
      <c r="B30" s="20" t="s">
        <v>123</v>
      </c>
      <c r="C30" s="27">
        <v>2</v>
      </c>
      <c r="D30" s="28"/>
      <c r="E30" s="29"/>
      <c r="F30" s="30" t="s">
        <v>124</v>
      </c>
      <c r="G30" s="29" t="s">
        <v>75</v>
      </c>
      <c r="H30" s="29"/>
      <c r="I30" s="29"/>
      <c r="J30" s="33"/>
    </row>
    <row r="31" spans="1:10" s="26" customFormat="1" ht="79.5" customHeight="1">
      <c r="A31" s="1" t="s">
        <v>125</v>
      </c>
      <c r="B31" s="20" t="s">
        <v>126</v>
      </c>
      <c r="C31" s="27">
        <v>2</v>
      </c>
      <c r="D31" s="28">
        <v>319</v>
      </c>
      <c r="E31" s="29"/>
      <c r="F31" s="30" t="s">
        <v>127</v>
      </c>
      <c r="G31" s="29" t="s">
        <v>112</v>
      </c>
      <c r="H31" s="29" t="s">
        <v>64</v>
      </c>
      <c r="I31" s="31" t="s">
        <v>128</v>
      </c>
      <c r="J31" s="33"/>
    </row>
    <row r="32" spans="1:10" s="26" customFormat="1" ht="68">
      <c r="A32" s="1"/>
      <c r="B32" s="20" t="s">
        <v>129</v>
      </c>
      <c r="C32" s="27">
        <v>2</v>
      </c>
      <c r="D32" s="28">
        <v>295</v>
      </c>
      <c r="E32" s="29"/>
      <c r="F32" s="30" t="s">
        <v>130</v>
      </c>
      <c r="G32" s="29" t="s">
        <v>112</v>
      </c>
      <c r="H32" s="125" t="s">
        <v>64</v>
      </c>
      <c r="I32" s="29" t="s">
        <v>131</v>
      </c>
      <c r="J32" s="33"/>
    </row>
    <row r="33" spans="1:10" s="26" customFormat="1" ht="68">
      <c r="A33" s="3" t="s">
        <v>132</v>
      </c>
      <c r="B33" s="20" t="s">
        <v>133</v>
      </c>
      <c r="C33" s="27">
        <v>2</v>
      </c>
      <c r="D33" s="28">
        <v>284</v>
      </c>
      <c r="E33" s="29"/>
      <c r="F33" s="30" t="s">
        <v>134</v>
      </c>
      <c r="G33" s="29" t="s">
        <v>26</v>
      </c>
      <c r="H33" s="29" t="s">
        <v>135</v>
      </c>
      <c r="I33" s="29" t="s">
        <v>136</v>
      </c>
      <c r="J33" s="33"/>
    </row>
    <row r="34" spans="1:10" s="26" customFormat="1" ht="48" customHeight="1">
      <c r="A34" s="1" t="s">
        <v>137</v>
      </c>
      <c r="B34" s="20" t="s">
        <v>138</v>
      </c>
      <c r="C34" s="27">
        <v>2</v>
      </c>
      <c r="D34" s="28">
        <v>1059</v>
      </c>
      <c r="E34" s="29"/>
      <c r="F34" s="30" t="s">
        <v>139</v>
      </c>
      <c r="G34" s="29" t="s">
        <v>26</v>
      </c>
      <c r="H34" s="29" t="s">
        <v>140</v>
      </c>
      <c r="I34" s="29" t="s">
        <v>141</v>
      </c>
      <c r="J34" s="33"/>
    </row>
    <row r="35" spans="1:10" s="26" customFormat="1" ht="51">
      <c r="A35" s="1"/>
      <c r="B35" s="20" t="s">
        <v>142</v>
      </c>
      <c r="C35" s="27">
        <v>2</v>
      </c>
      <c r="D35" s="28">
        <v>362</v>
      </c>
      <c r="E35" s="29"/>
      <c r="F35" s="30" t="s">
        <v>143</v>
      </c>
      <c r="G35" s="29" t="s">
        <v>26</v>
      </c>
      <c r="H35" s="125" t="s">
        <v>64</v>
      </c>
      <c r="I35" s="29" t="s">
        <v>144</v>
      </c>
      <c r="J35" s="33"/>
    </row>
    <row r="36" spans="1:10" s="26" customFormat="1" ht="51">
      <c r="A36" s="1"/>
      <c r="B36" s="20" t="s">
        <v>145</v>
      </c>
      <c r="C36" s="27">
        <v>2</v>
      </c>
      <c r="D36" s="28">
        <v>367</v>
      </c>
      <c r="E36" s="29"/>
      <c r="F36" s="30" t="s">
        <v>146</v>
      </c>
      <c r="G36" s="29" t="s">
        <v>26</v>
      </c>
      <c r="H36" s="125" t="s">
        <v>64</v>
      </c>
      <c r="I36" s="29" t="s">
        <v>147</v>
      </c>
      <c r="J36" s="33"/>
    </row>
    <row r="37" spans="1:10" s="26" customFormat="1" ht="16.5" customHeight="1">
      <c r="A37" s="1" t="s">
        <v>148</v>
      </c>
      <c r="B37" s="20" t="s">
        <v>149</v>
      </c>
      <c r="C37" s="27">
        <v>2</v>
      </c>
      <c r="D37" s="28">
        <v>552</v>
      </c>
      <c r="E37" s="29"/>
      <c r="F37" s="30" t="s">
        <v>150</v>
      </c>
      <c r="G37" s="29" t="s">
        <v>75</v>
      </c>
      <c r="H37" s="29"/>
      <c r="I37" s="29"/>
      <c r="J37" s="33"/>
    </row>
    <row r="38" spans="1:10" s="26" customFormat="1" ht="85">
      <c r="A38" s="1"/>
      <c r="B38" s="20" t="s">
        <v>151</v>
      </c>
      <c r="C38" s="27">
        <v>2</v>
      </c>
      <c r="D38" s="28">
        <v>646</v>
      </c>
      <c r="E38" s="29"/>
      <c r="F38" s="30" t="s">
        <v>152</v>
      </c>
      <c r="G38" s="29" t="s">
        <v>26</v>
      </c>
      <c r="H38" s="29" t="s">
        <v>153</v>
      </c>
      <c r="I38" s="128" t="s">
        <v>154</v>
      </c>
      <c r="J38" s="33"/>
    </row>
    <row r="39" spans="1:10" s="26" customFormat="1" ht="22">
      <c r="A39" s="3" t="s">
        <v>155</v>
      </c>
      <c r="B39" s="20"/>
      <c r="C39" s="27"/>
      <c r="D39" s="28"/>
      <c r="E39" s="29"/>
      <c r="F39" s="30" t="s">
        <v>74</v>
      </c>
      <c r="G39" s="29" t="s">
        <v>75</v>
      </c>
      <c r="H39" s="29"/>
      <c r="I39" s="29"/>
      <c r="J39" s="33"/>
    </row>
    <row r="40" spans="1:10" s="26" customFormat="1" ht="59" customHeight="1">
      <c r="A40" s="1" t="s">
        <v>156</v>
      </c>
      <c r="B40" s="20" t="s">
        <v>157</v>
      </c>
      <c r="C40" s="27">
        <v>2</v>
      </c>
      <c r="D40" s="28">
        <v>923</v>
      </c>
      <c r="E40" s="29"/>
      <c r="F40" s="30" t="s">
        <v>158</v>
      </c>
      <c r="G40" s="29" t="s">
        <v>26</v>
      </c>
      <c r="H40" s="29" t="s">
        <v>64</v>
      </c>
      <c r="I40" s="29" t="s">
        <v>159</v>
      </c>
      <c r="J40" s="33"/>
    </row>
    <row r="41" spans="1:10" s="26" customFormat="1" ht="35" thickBot="1">
      <c r="A41" s="1"/>
      <c r="B41" s="20" t="s">
        <v>160</v>
      </c>
      <c r="C41" s="27">
        <v>2</v>
      </c>
      <c r="D41" s="28">
        <v>494</v>
      </c>
      <c r="E41" s="29"/>
      <c r="F41" s="30" t="s">
        <v>161</v>
      </c>
      <c r="G41" s="29" t="s">
        <v>75</v>
      </c>
      <c r="H41" s="29"/>
      <c r="I41" s="29"/>
      <c r="J41" s="33"/>
    </row>
    <row r="42" spans="1:10" s="26" customFormat="1" ht="35" thickBot="1">
      <c r="A42" s="1"/>
      <c r="B42" s="20" t="s">
        <v>162</v>
      </c>
      <c r="C42" s="27">
        <v>2</v>
      </c>
      <c r="D42" s="28">
        <v>1104</v>
      </c>
      <c r="E42" s="29"/>
      <c r="F42" s="30" t="s">
        <v>163</v>
      </c>
      <c r="G42" s="29" t="s">
        <v>26</v>
      </c>
      <c r="H42" s="29" t="s">
        <v>164</v>
      </c>
      <c r="I42" s="31"/>
      <c r="J42" s="33"/>
    </row>
    <row r="43" spans="1:10" s="26" customFormat="1" ht="69" thickBot="1">
      <c r="A43" s="1"/>
      <c r="B43" s="20" t="s">
        <v>165</v>
      </c>
      <c r="C43" s="27">
        <v>2</v>
      </c>
      <c r="D43" s="28"/>
      <c r="E43" s="29"/>
      <c r="F43" s="30" t="s">
        <v>166</v>
      </c>
      <c r="G43" s="26" t="s">
        <v>26</v>
      </c>
      <c r="H43" s="29" t="s">
        <v>164</v>
      </c>
      <c r="I43" s="31"/>
      <c r="J43" s="33"/>
    </row>
    <row r="44" spans="1:10" s="26" customFormat="1" ht="103" thickBot="1">
      <c r="A44" s="1"/>
      <c r="B44" s="20" t="s">
        <v>167</v>
      </c>
      <c r="C44" s="27">
        <v>2</v>
      </c>
      <c r="D44" s="28">
        <v>265</v>
      </c>
      <c r="E44" s="29"/>
      <c r="F44" s="30" t="s">
        <v>168</v>
      </c>
      <c r="G44" s="26" t="s">
        <v>75</v>
      </c>
      <c r="H44" s="29"/>
      <c r="I44" s="121"/>
      <c r="J44" s="33"/>
    </row>
    <row r="45" spans="1:10" s="26" customFormat="1" ht="52" thickBot="1">
      <c r="A45" s="1"/>
      <c r="B45" s="20" t="s">
        <v>169</v>
      </c>
      <c r="C45" s="34">
        <v>2</v>
      </c>
      <c r="D45" s="35">
        <v>477</v>
      </c>
      <c r="E45" s="36"/>
      <c r="F45" s="37" t="s">
        <v>170</v>
      </c>
      <c r="G45" s="36" t="s">
        <v>75</v>
      </c>
      <c r="H45" s="36"/>
      <c r="I45" s="127"/>
      <c r="J45" s="38"/>
    </row>
    <row r="46" spans="1:10" ht="22" thickBot="1">
      <c r="I46" s="36"/>
    </row>
  </sheetData>
  <mergeCells count="11">
    <mergeCell ref="A2:A8"/>
    <mergeCell ref="A9:A12"/>
    <mergeCell ref="A14:A18"/>
    <mergeCell ref="A19:A22"/>
    <mergeCell ref="A23:A26"/>
    <mergeCell ref="A40:A45"/>
    <mergeCell ref="A27:A28"/>
    <mergeCell ref="A29:A30"/>
    <mergeCell ref="A31:A32"/>
    <mergeCell ref="A34:A36"/>
    <mergeCell ref="A37:A38"/>
  </mergeCells>
  <dataValidations count="1">
    <dataValidation type="list" operator="equal" showErrorMessage="1" sqref="G2:G45 H44" xr:uid="{00000000-0002-0000-0100-000000000000}">
      <formula1>"Valid,Non-valid,Not Applicable"</formula1>
      <formula2>0</formula2>
    </dataValidation>
  </dataValidations>
  <hyperlinks>
    <hyperlink ref="H12" r:id="rId1" xr:uid="{6A38D434-0A58-4D2B-8474-F5E156F684E5}"/>
    <hyperlink ref="H14" r:id="rId2" xr:uid="{72B9E7DE-C4DD-4D40-9049-2B34012EA12D}"/>
    <hyperlink ref="H17" r:id="rId3" xr:uid="{D5DF79BA-8BE8-4E74-BD5F-3F93A464AE89}"/>
    <hyperlink ref="H11" r:id="rId4" xr:uid="{CB9DF0B9-8872-49AC-8C83-A30201F34CC4}"/>
    <hyperlink ref="H32" r:id="rId5" xr:uid="{A28A720E-8F05-45EB-9046-4B5CF7520942}"/>
    <hyperlink ref="H35" r:id="rId6" xr:uid="{8468346C-F2CE-427E-96C8-4161D83BB81A}"/>
    <hyperlink ref="H36" r:id="rId7" xr:uid="{E718B82F-EC0C-4FF3-89E9-3B0580C87137}"/>
    <hyperlink ref="H24" r:id="rId8" xr:uid="{326C8A1D-DC65-304D-8236-C35586E29922}"/>
    <hyperlink ref="H23" r:id="rId9" xr:uid="{2EC6B888-5063-B54D-9640-DF0416E8A83A}"/>
    <hyperlink ref="H18" r:id="rId10" xr:uid="{1F59ACA5-4B3D-F048-9089-FF158290461C}"/>
  </hyperlink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8"/>
  <sheetViews>
    <sheetView topLeftCell="A11" zoomScale="97" zoomScaleNormal="95" workbookViewId="0">
      <selection activeCell="H32" sqref="H32"/>
    </sheetView>
  </sheetViews>
  <sheetFormatPr baseColWidth="10" defaultColWidth="8.6640625" defaultRowHeight="21"/>
  <cols>
    <col min="1" max="1" width="34.33203125" style="4" customWidth="1"/>
    <col min="2" max="2" width="8.6640625" style="39"/>
    <col min="3" max="3" width="14.6640625" style="40" customWidth="1"/>
    <col min="4" max="5" width="8.6640625" style="40"/>
    <col min="6" max="6" width="73" style="16" customWidth="1"/>
    <col min="7" max="7" width="25.5" style="16" customWidth="1"/>
    <col min="8" max="8" width="30.33203125" style="16" customWidth="1"/>
    <col min="9" max="9" width="33.5" style="16" customWidth="1"/>
    <col min="10" max="10" width="29" style="16" customWidth="1"/>
    <col min="11" max="1024" width="8.6640625" style="16"/>
  </cols>
  <sheetData>
    <row r="1" spans="1:10" s="44" customFormat="1" ht="22">
      <c r="A1" s="41" t="s">
        <v>20</v>
      </c>
      <c r="B1" s="42" t="s">
        <v>21</v>
      </c>
      <c r="C1" s="42" t="s">
        <v>22</v>
      </c>
      <c r="D1" s="42" t="s">
        <v>23</v>
      </c>
      <c r="E1" s="42" t="s">
        <v>24</v>
      </c>
      <c r="F1" s="43" t="s">
        <v>25</v>
      </c>
      <c r="G1" s="43" t="s">
        <v>26</v>
      </c>
      <c r="H1" s="43" t="s">
        <v>27</v>
      </c>
      <c r="I1" s="43" t="s">
        <v>28</v>
      </c>
      <c r="J1" s="43" t="s">
        <v>29</v>
      </c>
    </row>
    <row r="2" spans="1:10" s="26" customFormat="1" ht="48" customHeight="1">
      <c r="A2" s="141" t="s">
        <v>171</v>
      </c>
      <c r="B2" s="45" t="s">
        <v>172</v>
      </c>
      <c r="C2" s="46">
        <v>1</v>
      </c>
      <c r="D2" s="47">
        <v>521</v>
      </c>
      <c r="E2" s="48" t="s">
        <v>173</v>
      </c>
      <c r="F2" s="49" t="s">
        <v>174</v>
      </c>
      <c r="G2" s="50" t="s">
        <v>26</v>
      </c>
      <c r="H2" s="51" t="s">
        <v>175</v>
      </c>
      <c r="I2" s="51" t="s">
        <v>176</v>
      </c>
      <c r="J2" s="52"/>
    </row>
    <row r="3" spans="1:10" s="26" customFormat="1" ht="51">
      <c r="A3" s="141"/>
      <c r="B3" s="45" t="s">
        <v>177</v>
      </c>
      <c r="C3" s="53">
        <v>1</v>
      </c>
      <c r="D3" s="54">
        <v>521</v>
      </c>
      <c r="E3" s="28" t="s">
        <v>173</v>
      </c>
      <c r="F3" s="30" t="s">
        <v>178</v>
      </c>
      <c r="G3" s="29" t="s">
        <v>75</v>
      </c>
      <c r="H3" s="31"/>
      <c r="I3" s="31"/>
      <c r="J3" s="32"/>
    </row>
    <row r="4" spans="1:10" s="26" customFormat="1" ht="71">
      <c r="A4" s="141"/>
      <c r="B4" s="45" t="s">
        <v>179</v>
      </c>
      <c r="C4" s="53">
        <v>1</v>
      </c>
      <c r="D4" s="54">
        <v>521</v>
      </c>
      <c r="E4" s="28" t="s">
        <v>173</v>
      </c>
      <c r="F4" s="30" t="s">
        <v>180</v>
      </c>
      <c r="G4" s="29" t="s">
        <v>26</v>
      </c>
      <c r="H4" s="124" t="s">
        <v>175</v>
      </c>
      <c r="I4" s="31" t="s">
        <v>181</v>
      </c>
      <c r="J4" s="32"/>
    </row>
    <row r="5" spans="1:10" s="26" customFormat="1" ht="102">
      <c r="A5" s="141"/>
      <c r="B5" s="45" t="s">
        <v>182</v>
      </c>
      <c r="C5" s="53">
        <v>1</v>
      </c>
      <c r="D5" s="54">
        <v>521</v>
      </c>
      <c r="E5" s="28" t="s">
        <v>173</v>
      </c>
      <c r="F5" s="30" t="s">
        <v>183</v>
      </c>
      <c r="G5" s="29" t="s">
        <v>26</v>
      </c>
      <c r="H5" s="31" t="s">
        <v>175</v>
      </c>
      <c r="I5" s="31" t="s">
        <v>184</v>
      </c>
      <c r="J5" s="32"/>
    </row>
    <row r="6" spans="1:10" s="26" customFormat="1" ht="102">
      <c r="A6" s="141"/>
      <c r="B6" s="45" t="s">
        <v>185</v>
      </c>
      <c r="C6" s="53">
        <v>1</v>
      </c>
      <c r="D6" s="54">
        <v>620</v>
      </c>
      <c r="E6" s="28" t="s">
        <v>173</v>
      </c>
      <c r="F6" s="30" t="s">
        <v>186</v>
      </c>
      <c r="G6" s="29" t="s">
        <v>26</v>
      </c>
      <c r="H6" s="31" t="s">
        <v>187</v>
      </c>
      <c r="I6" s="31" t="s">
        <v>188</v>
      </c>
      <c r="J6" s="32"/>
    </row>
    <row r="7" spans="1:10" s="26" customFormat="1" ht="102">
      <c r="A7" s="141"/>
      <c r="B7" s="45" t="s">
        <v>189</v>
      </c>
      <c r="C7" s="53">
        <v>1</v>
      </c>
      <c r="D7" s="54">
        <v>620</v>
      </c>
      <c r="E7" s="28" t="s">
        <v>173</v>
      </c>
      <c r="F7" s="30" t="s">
        <v>190</v>
      </c>
      <c r="G7" s="29" t="s">
        <v>26</v>
      </c>
      <c r="H7" s="31" t="s">
        <v>191</v>
      </c>
      <c r="I7" s="31" t="s">
        <v>188</v>
      </c>
      <c r="J7" s="32"/>
    </row>
    <row r="8" spans="1:10" s="26" customFormat="1" ht="136">
      <c r="A8" s="141"/>
      <c r="B8" s="45" t="s">
        <v>192</v>
      </c>
      <c r="C8" s="53">
        <v>1</v>
      </c>
      <c r="D8" s="54">
        <v>521</v>
      </c>
      <c r="E8" s="28" t="s">
        <v>173</v>
      </c>
      <c r="F8" s="30" t="s">
        <v>193</v>
      </c>
      <c r="G8" s="29" t="s">
        <v>75</v>
      </c>
      <c r="H8" s="31"/>
      <c r="I8" s="31"/>
      <c r="J8" s="32"/>
    </row>
    <row r="9" spans="1:10" s="26" customFormat="1" ht="34">
      <c r="A9" s="141"/>
      <c r="B9" s="45" t="s">
        <v>194</v>
      </c>
      <c r="C9" s="53">
        <v>1</v>
      </c>
      <c r="D9" s="54">
        <v>521</v>
      </c>
      <c r="E9" s="28" t="s">
        <v>173</v>
      </c>
      <c r="F9" s="30" t="s">
        <v>195</v>
      </c>
      <c r="G9" s="29" t="s">
        <v>75</v>
      </c>
      <c r="H9" s="31"/>
      <c r="I9" s="31"/>
      <c r="J9" s="32"/>
    </row>
    <row r="10" spans="1:10" s="26" customFormat="1" ht="102">
      <c r="A10" s="141"/>
      <c r="B10" s="45" t="s">
        <v>196</v>
      </c>
      <c r="C10" s="53">
        <v>1</v>
      </c>
      <c r="D10" s="54">
        <v>521</v>
      </c>
      <c r="E10" s="28" t="s">
        <v>173</v>
      </c>
      <c r="F10" s="30" t="s">
        <v>197</v>
      </c>
      <c r="G10" s="29" t="s">
        <v>26</v>
      </c>
      <c r="H10" s="31" t="s">
        <v>198</v>
      </c>
      <c r="I10" s="31" t="s">
        <v>199</v>
      </c>
      <c r="J10" s="32"/>
    </row>
    <row r="11" spans="1:10" s="26" customFormat="1" ht="102">
      <c r="A11" s="141"/>
      <c r="B11" s="45" t="s">
        <v>200</v>
      </c>
      <c r="C11" s="53">
        <v>1</v>
      </c>
      <c r="D11" s="54">
        <v>263</v>
      </c>
      <c r="E11" s="28" t="s">
        <v>173</v>
      </c>
      <c r="F11" s="30" t="s">
        <v>201</v>
      </c>
      <c r="G11" s="29" t="s">
        <v>26</v>
      </c>
      <c r="H11" s="31" t="s">
        <v>191</v>
      </c>
      <c r="I11" s="31" t="s">
        <v>188</v>
      </c>
      <c r="J11" s="32"/>
    </row>
    <row r="12" spans="1:10" s="26" customFormat="1" ht="34">
      <c r="A12" s="141"/>
      <c r="B12" s="45" t="s">
        <v>202</v>
      </c>
      <c r="C12" s="53">
        <v>1</v>
      </c>
      <c r="D12" s="54">
        <v>521</v>
      </c>
      <c r="E12" s="28" t="s">
        <v>173</v>
      </c>
      <c r="F12" s="30" t="s">
        <v>203</v>
      </c>
      <c r="G12" s="29" t="s">
        <v>75</v>
      </c>
      <c r="H12" s="31"/>
      <c r="I12" s="31"/>
      <c r="J12" s="32"/>
    </row>
    <row r="13" spans="1:10" s="26" customFormat="1" ht="51">
      <c r="A13" s="141"/>
      <c r="B13" s="45" t="s">
        <v>204</v>
      </c>
      <c r="C13" s="53">
        <v>1</v>
      </c>
      <c r="D13" s="54">
        <v>521</v>
      </c>
      <c r="E13" s="28" t="s">
        <v>173</v>
      </c>
      <c r="F13" s="30" t="s">
        <v>205</v>
      </c>
      <c r="G13" s="29" t="s">
        <v>75</v>
      </c>
      <c r="H13" s="31"/>
      <c r="I13" s="31"/>
      <c r="J13" s="32"/>
    </row>
    <row r="14" spans="1:10" s="26" customFormat="1" ht="111" customHeight="1">
      <c r="A14" s="141" t="s">
        <v>206</v>
      </c>
      <c r="B14" s="45" t="s">
        <v>207</v>
      </c>
      <c r="C14" s="53">
        <v>1</v>
      </c>
      <c r="D14" s="54">
        <v>307</v>
      </c>
      <c r="E14" s="28" t="s">
        <v>208</v>
      </c>
      <c r="F14" s="30" t="s">
        <v>209</v>
      </c>
      <c r="G14" s="29" t="s">
        <v>75</v>
      </c>
      <c r="H14" s="31"/>
      <c r="I14" s="31"/>
      <c r="J14" s="32"/>
    </row>
    <row r="15" spans="1:10" s="26" customFormat="1" ht="85">
      <c r="A15" s="141"/>
      <c r="B15" s="45" t="s">
        <v>210</v>
      </c>
      <c r="C15" s="53">
        <v>1</v>
      </c>
      <c r="D15" s="54">
        <v>304</v>
      </c>
      <c r="E15" s="28" t="s">
        <v>211</v>
      </c>
      <c r="F15" s="30" t="s">
        <v>212</v>
      </c>
      <c r="G15" s="29" t="s">
        <v>75</v>
      </c>
      <c r="H15" s="31"/>
      <c r="I15" s="31"/>
      <c r="J15" s="32"/>
    </row>
    <row r="16" spans="1:10" s="26" customFormat="1" ht="85">
      <c r="A16" s="141"/>
      <c r="B16" s="45" t="s">
        <v>213</v>
      </c>
      <c r="C16" s="53">
        <v>1</v>
      </c>
      <c r="D16" s="54">
        <v>620</v>
      </c>
      <c r="E16" s="28"/>
      <c r="F16" s="30" t="s">
        <v>214</v>
      </c>
      <c r="G16" s="29" t="s">
        <v>75</v>
      </c>
      <c r="H16" s="31"/>
      <c r="I16" s="31"/>
      <c r="J16" s="32"/>
    </row>
    <row r="17" spans="1:10" s="26" customFormat="1" ht="51">
      <c r="A17" s="141"/>
      <c r="B17" s="45" t="s">
        <v>215</v>
      </c>
      <c r="C17" s="55">
        <v>3</v>
      </c>
      <c r="D17" s="54">
        <v>308</v>
      </c>
      <c r="E17" s="28" t="s">
        <v>216</v>
      </c>
      <c r="F17" s="30" t="s">
        <v>217</v>
      </c>
      <c r="G17" s="29" t="s">
        <v>75</v>
      </c>
      <c r="H17" s="31"/>
      <c r="I17" s="31"/>
      <c r="J17" s="32"/>
    </row>
    <row r="18" spans="1:10" s="26" customFormat="1" ht="51">
      <c r="A18" s="141"/>
      <c r="B18" s="45" t="s">
        <v>218</v>
      </c>
      <c r="C18" s="55">
        <v>3</v>
      </c>
      <c r="D18" s="54">
        <v>319</v>
      </c>
      <c r="E18" s="28" t="s">
        <v>219</v>
      </c>
      <c r="F18" s="30" t="s">
        <v>220</v>
      </c>
      <c r="G18" s="29" t="s">
        <v>75</v>
      </c>
      <c r="H18" s="31"/>
      <c r="I18" s="31"/>
      <c r="J18" s="32"/>
    </row>
    <row r="19" spans="1:10" s="26" customFormat="1" ht="34">
      <c r="A19" s="141"/>
      <c r="B19" s="45" t="s">
        <v>221</v>
      </c>
      <c r="C19" s="55">
        <v>3</v>
      </c>
      <c r="D19" s="54">
        <v>308</v>
      </c>
      <c r="E19" s="28" t="s">
        <v>222</v>
      </c>
      <c r="F19" s="30" t="s">
        <v>223</v>
      </c>
      <c r="G19" s="29" t="s">
        <v>75</v>
      </c>
      <c r="H19" s="31"/>
      <c r="I19" s="31"/>
      <c r="J19" s="32"/>
    </row>
    <row r="20" spans="1:10" s="26" customFormat="1" ht="34">
      <c r="A20" s="141"/>
      <c r="B20" s="45" t="s">
        <v>224</v>
      </c>
      <c r="C20" s="55">
        <v>3</v>
      </c>
      <c r="D20" s="54">
        <v>308</v>
      </c>
      <c r="E20" s="28" t="s">
        <v>225</v>
      </c>
      <c r="F20" s="30" t="s">
        <v>226</v>
      </c>
      <c r="G20" s="29" t="s">
        <v>75</v>
      </c>
      <c r="H20" s="31"/>
      <c r="I20" s="31"/>
      <c r="J20" s="32"/>
    </row>
    <row r="21" spans="1:10" s="26" customFormat="1" ht="79.5" customHeight="1">
      <c r="A21" s="141" t="s">
        <v>227</v>
      </c>
      <c r="B21" s="45" t="s">
        <v>228</v>
      </c>
      <c r="C21" s="53">
        <v>1</v>
      </c>
      <c r="D21" s="54">
        <v>330</v>
      </c>
      <c r="E21" s="28" t="s">
        <v>229</v>
      </c>
      <c r="F21" s="30" t="s">
        <v>230</v>
      </c>
      <c r="G21" s="29" t="s">
        <v>75</v>
      </c>
      <c r="H21" s="31"/>
      <c r="I21" s="31"/>
      <c r="J21" s="32"/>
    </row>
    <row r="22" spans="1:10" s="26" customFormat="1" ht="34">
      <c r="A22" s="141"/>
      <c r="B22" s="45" t="s">
        <v>231</v>
      </c>
      <c r="C22" s="56">
        <v>2</v>
      </c>
      <c r="D22" s="54">
        <v>308</v>
      </c>
      <c r="E22" s="28" t="s">
        <v>232</v>
      </c>
      <c r="F22" s="30" t="s">
        <v>233</v>
      </c>
      <c r="G22" s="29" t="s">
        <v>75</v>
      </c>
      <c r="H22" s="31"/>
      <c r="I22" s="31"/>
      <c r="J22" s="32"/>
    </row>
    <row r="23" spans="1:10" s="26" customFormat="1" ht="34">
      <c r="A23" s="141"/>
      <c r="B23" s="45" t="s">
        <v>234</v>
      </c>
      <c r="C23" s="56">
        <v>2</v>
      </c>
      <c r="D23" s="54">
        <v>287</v>
      </c>
      <c r="E23" s="28" t="s">
        <v>235</v>
      </c>
      <c r="F23" s="30" t="s">
        <v>236</v>
      </c>
      <c r="G23" s="29" t="s">
        <v>75</v>
      </c>
      <c r="H23" s="31"/>
      <c r="I23" s="31"/>
      <c r="J23" s="32"/>
    </row>
    <row r="24" spans="1:10" s="26" customFormat="1" ht="95.25" customHeight="1">
      <c r="A24" s="141" t="s">
        <v>237</v>
      </c>
      <c r="B24" s="45" t="s">
        <v>238</v>
      </c>
      <c r="C24" s="56">
        <v>2</v>
      </c>
      <c r="D24" s="54">
        <v>916</v>
      </c>
      <c r="E24" s="28" t="s">
        <v>173</v>
      </c>
      <c r="F24" s="30" t="s">
        <v>239</v>
      </c>
      <c r="G24" s="29" t="s">
        <v>112</v>
      </c>
      <c r="H24" s="31"/>
      <c r="I24" s="31"/>
      <c r="J24" s="32"/>
    </row>
    <row r="25" spans="1:10" s="26" customFormat="1" ht="68">
      <c r="A25" s="141"/>
      <c r="B25" s="45" t="s">
        <v>240</v>
      </c>
      <c r="C25" s="56">
        <v>2</v>
      </c>
      <c r="D25" s="54">
        <v>916</v>
      </c>
      <c r="E25" s="28" t="s">
        <v>173</v>
      </c>
      <c r="F25" s="30" t="s">
        <v>241</v>
      </c>
      <c r="G25" s="29" t="s">
        <v>112</v>
      </c>
      <c r="H25" s="31"/>
      <c r="I25" s="31"/>
      <c r="J25" s="32"/>
    </row>
    <row r="26" spans="1:10" s="26" customFormat="1" ht="51">
      <c r="A26" s="141"/>
      <c r="B26" s="45" t="s">
        <v>242</v>
      </c>
      <c r="C26" s="56">
        <v>2</v>
      </c>
      <c r="D26" s="54">
        <v>916</v>
      </c>
      <c r="E26" s="28" t="s">
        <v>173</v>
      </c>
      <c r="F26" s="30" t="s">
        <v>243</v>
      </c>
      <c r="G26" s="29" t="s">
        <v>75</v>
      </c>
      <c r="H26" s="31"/>
      <c r="I26" s="31"/>
      <c r="J26" s="32"/>
    </row>
    <row r="27" spans="1:10" s="26" customFormat="1" ht="51">
      <c r="A27" s="141"/>
      <c r="B27" s="45" t="s">
        <v>244</v>
      </c>
      <c r="C27" s="56">
        <v>2</v>
      </c>
      <c r="D27" s="54">
        <v>916</v>
      </c>
      <c r="E27" s="28" t="s">
        <v>173</v>
      </c>
      <c r="F27" s="30" t="s">
        <v>245</v>
      </c>
      <c r="G27" s="29" t="s">
        <v>112</v>
      </c>
      <c r="H27" s="31"/>
      <c r="I27" s="31"/>
      <c r="J27" s="32"/>
    </row>
    <row r="28" spans="1:10" s="26" customFormat="1" ht="102">
      <c r="A28" s="141"/>
      <c r="B28" s="45" t="s">
        <v>246</v>
      </c>
      <c r="C28" s="56">
        <v>2</v>
      </c>
      <c r="D28" s="54">
        <v>916</v>
      </c>
      <c r="E28" s="28" t="s">
        <v>173</v>
      </c>
      <c r="F28" s="30" t="s">
        <v>247</v>
      </c>
      <c r="G28" s="29" t="s">
        <v>112</v>
      </c>
      <c r="H28" s="29"/>
      <c r="I28" s="29"/>
      <c r="J28" s="33"/>
    </row>
    <row r="29" spans="1:10" s="26" customFormat="1" ht="48" customHeight="1">
      <c r="A29" s="141" t="s">
        <v>248</v>
      </c>
      <c r="B29" s="45" t="s">
        <v>249</v>
      </c>
      <c r="C29" s="53">
        <v>1</v>
      </c>
      <c r="D29" s="54">
        <v>640</v>
      </c>
      <c r="E29" s="28" t="s">
        <v>173</v>
      </c>
      <c r="F29" s="30" t="s">
        <v>250</v>
      </c>
      <c r="G29" s="29" t="s">
        <v>75</v>
      </c>
      <c r="H29" s="29"/>
      <c r="I29" s="29"/>
      <c r="J29" s="33"/>
    </row>
    <row r="30" spans="1:10" s="26" customFormat="1" ht="34">
      <c r="A30" s="141"/>
      <c r="B30" s="45" t="s">
        <v>251</v>
      </c>
      <c r="C30" s="53">
        <v>1</v>
      </c>
      <c r="D30" s="54">
        <v>640</v>
      </c>
      <c r="E30" s="28" t="s">
        <v>173</v>
      </c>
      <c r="F30" s="30" t="s">
        <v>252</v>
      </c>
      <c r="G30" s="29" t="s">
        <v>75</v>
      </c>
      <c r="H30" s="29"/>
      <c r="I30" s="29"/>
      <c r="J30" s="33"/>
    </row>
    <row r="31" spans="1:10" s="26" customFormat="1" ht="34">
      <c r="A31" s="141"/>
      <c r="B31" s="45" t="s">
        <v>253</v>
      </c>
      <c r="C31" s="53">
        <v>1</v>
      </c>
      <c r="D31" s="54">
        <v>640</v>
      </c>
      <c r="E31" s="28" t="s">
        <v>173</v>
      </c>
      <c r="F31" s="30" t="s">
        <v>254</v>
      </c>
      <c r="G31" s="29" t="s">
        <v>26</v>
      </c>
      <c r="H31" s="29"/>
      <c r="I31" s="29"/>
      <c r="J31" s="33"/>
    </row>
    <row r="32" spans="1:10" s="26" customFormat="1" ht="34">
      <c r="A32" s="141"/>
      <c r="B32" s="45" t="s">
        <v>255</v>
      </c>
      <c r="C32" s="53">
        <v>1</v>
      </c>
      <c r="D32" s="54">
        <v>16</v>
      </c>
      <c r="E32" s="28" t="s">
        <v>229</v>
      </c>
      <c r="F32" s="30" t="s">
        <v>256</v>
      </c>
      <c r="G32" s="29" t="s">
        <v>112</v>
      </c>
      <c r="H32" s="29"/>
      <c r="I32" s="29"/>
      <c r="J32" s="33"/>
    </row>
    <row r="33" spans="1:10" s="26" customFormat="1" ht="34">
      <c r="A33" s="141"/>
      <c r="B33" s="45" t="s">
        <v>257</v>
      </c>
      <c r="C33" s="53">
        <v>1</v>
      </c>
      <c r="D33" s="54">
        <v>304</v>
      </c>
      <c r="E33" s="28" t="s">
        <v>258</v>
      </c>
      <c r="F33" s="30" t="s">
        <v>259</v>
      </c>
      <c r="G33" s="29" t="s">
        <v>112</v>
      </c>
      <c r="H33" s="29"/>
      <c r="I33" s="29"/>
      <c r="J33" s="33"/>
    </row>
    <row r="34" spans="1:10" s="26" customFormat="1" ht="68">
      <c r="A34" s="141"/>
      <c r="B34" s="45" t="s">
        <v>260</v>
      </c>
      <c r="C34" s="53">
        <v>1</v>
      </c>
      <c r="D34" s="54">
        <v>640</v>
      </c>
      <c r="E34" s="28" t="s">
        <v>173</v>
      </c>
      <c r="F34" s="30" t="s">
        <v>261</v>
      </c>
      <c r="G34" s="29" t="s">
        <v>75</v>
      </c>
      <c r="H34" s="29"/>
      <c r="I34" s="29"/>
      <c r="J34" s="33"/>
    </row>
    <row r="35" spans="1:10" s="26" customFormat="1" ht="34">
      <c r="A35" s="141"/>
      <c r="B35" s="45" t="s">
        <v>262</v>
      </c>
      <c r="C35" s="56">
        <v>2</v>
      </c>
      <c r="D35" s="54">
        <v>308</v>
      </c>
      <c r="E35" s="28" t="s">
        <v>258</v>
      </c>
      <c r="F35" s="30" t="s">
        <v>263</v>
      </c>
      <c r="G35" s="29" t="s">
        <v>75</v>
      </c>
      <c r="H35" s="29"/>
      <c r="I35" s="29"/>
      <c r="J35" s="33"/>
    </row>
    <row r="36" spans="1:10" s="26" customFormat="1" ht="16.5" customHeight="1">
      <c r="A36" s="141" t="s">
        <v>264</v>
      </c>
      <c r="B36" s="45" t="s">
        <v>265</v>
      </c>
      <c r="C36" s="56">
        <v>2</v>
      </c>
      <c r="D36" s="54">
        <v>308</v>
      </c>
      <c r="E36" s="28" t="s">
        <v>266</v>
      </c>
      <c r="F36" s="30" t="s">
        <v>267</v>
      </c>
      <c r="G36" s="29" t="s">
        <v>75</v>
      </c>
      <c r="H36" s="29"/>
      <c r="I36" s="29"/>
      <c r="J36" s="33"/>
    </row>
    <row r="37" spans="1:10" s="26" customFormat="1" ht="51">
      <c r="A37" s="141"/>
      <c r="B37" s="45" t="s">
        <v>268</v>
      </c>
      <c r="C37" s="56">
        <v>2</v>
      </c>
      <c r="D37" s="54">
        <v>330</v>
      </c>
      <c r="E37" s="28" t="s">
        <v>266</v>
      </c>
      <c r="F37" s="30" t="s">
        <v>269</v>
      </c>
      <c r="G37" s="29" t="s">
        <v>75</v>
      </c>
      <c r="H37" s="29"/>
      <c r="I37" s="29"/>
      <c r="J37" s="33"/>
    </row>
    <row r="38" spans="1:10" s="26" customFormat="1" ht="17">
      <c r="A38" s="141"/>
      <c r="B38" s="45" t="s">
        <v>270</v>
      </c>
      <c r="C38" s="56">
        <v>2</v>
      </c>
      <c r="D38" s="54">
        <v>310</v>
      </c>
      <c r="E38" s="28" t="s">
        <v>266</v>
      </c>
      <c r="F38" s="30" t="s">
        <v>271</v>
      </c>
      <c r="G38" s="29" t="s">
        <v>75</v>
      </c>
      <c r="H38" s="29"/>
      <c r="I38" s="29"/>
      <c r="J38" s="33"/>
    </row>
    <row r="39" spans="1:10" s="26" customFormat="1" ht="48" customHeight="1">
      <c r="A39" s="141" t="s">
        <v>272</v>
      </c>
      <c r="B39" s="45" t="s">
        <v>273</v>
      </c>
      <c r="C39" s="53">
        <v>1</v>
      </c>
      <c r="D39" s="54">
        <v>287</v>
      </c>
      <c r="E39" s="28" t="s">
        <v>274</v>
      </c>
      <c r="F39" s="30" t="s">
        <v>275</v>
      </c>
      <c r="G39" s="29" t="s">
        <v>75</v>
      </c>
      <c r="H39" s="29"/>
      <c r="I39" s="29"/>
      <c r="J39" s="33"/>
    </row>
    <row r="40" spans="1:10" s="26" customFormat="1" ht="34">
      <c r="A40" s="141"/>
      <c r="B40" s="45" t="s">
        <v>276</v>
      </c>
      <c r="C40" s="53">
        <v>1</v>
      </c>
      <c r="D40" s="54">
        <v>287</v>
      </c>
      <c r="E40" s="28" t="s">
        <v>274</v>
      </c>
      <c r="F40" s="30" t="s">
        <v>277</v>
      </c>
      <c r="G40" s="29" t="s">
        <v>75</v>
      </c>
      <c r="H40" s="29"/>
      <c r="I40" s="29"/>
      <c r="J40" s="33"/>
    </row>
    <row r="41" spans="1:10" s="26" customFormat="1" ht="34">
      <c r="A41" s="141"/>
      <c r="B41" s="45" t="s">
        <v>278</v>
      </c>
      <c r="C41" s="53">
        <v>1</v>
      </c>
      <c r="D41" s="54">
        <v>287</v>
      </c>
      <c r="E41" s="28" t="s">
        <v>274</v>
      </c>
      <c r="F41" s="30" t="s">
        <v>279</v>
      </c>
      <c r="G41" s="29" t="s">
        <v>75</v>
      </c>
      <c r="H41" s="29"/>
      <c r="I41" s="29"/>
      <c r="J41" s="33"/>
    </row>
    <row r="42" spans="1:10" s="26" customFormat="1" ht="34">
      <c r="A42" s="141"/>
      <c r="B42" s="45" t="s">
        <v>280</v>
      </c>
      <c r="C42" s="53">
        <v>1</v>
      </c>
      <c r="D42" s="54">
        <v>523</v>
      </c>
      <c r="E42" s="28" t="s">
        <v>274</v>
      </c>
      <c r="F42" s="30" t="s">
        <v>281</v>
      </c>
      <c r="G42" s="29" t="s">
        <v>75</v>
      </c>
      <c r="H42" s="29"/>
      <c r="I42" s="29"/>
      <c r="J42" s="33"/>
    </row>
    <row r="43" spans="1:10" s="26" customFormat="1" ht="34">
      <c r="A43" s="141"/>
      <c r="B43" s="45" t="s">
        <v>282</v>
      </c>
      <c r="C43" s="56">
        <v>2</v>
      </c>
      <c r="D43" s="54">
        <v>256</v>
      </c>
      <c r="E43" s="28" t="s">
        <v>274</v>
      </c>
      <c r="F43" s="30" t="s">
        <v>283</v>
      </c>
      <c r="G43" s="29" t="s">
        <v>75</v>
      </c>
      <c r="H43" s="29"/>
      <c r="I43" s="29"/>
      <c r="J43" s="33"/>
    </row>
    <row r="44" spans="1:10" s="26" customFormat="1" ht="51">
      <c r="A44" s="141"/>
      <c r="B44" s="45" t="s">
        <v>284</v>
      </c>
      <c r="C44" s="56">
        <v>2</v>
      </c>
      <c r="D44" s="54">
        <v>310</v>
      </c>
      <c r="E44" s="28" t="s">
        <v>274</v>
      </c>
      <c r="F44" s="30" t="s">
        <v>285</v>
      </c>
      <c r="G44" s="29" t="s">
        <v>75</v>
      </c>
      <c r="H44" s="29"/>
      <c r="I44" s="29"/>
      <c r="J44" s="33"/>
    </row>
    <row r="45" spans="1:10" s="26" customFormat="1" ht="32.25" customHeight="1">
      <c r="A45" s="141" t="s">
        <v>286</v>
      </c>
      <c r="B45" s="45" t="s">
        <v>287</v>
      </c>
      <c r="C45" s="53">
        <v>1</v>
      </c>
      <c r="D45" s="54">
        <v>613</v>
      </c>
      <c r="E45" s="28" t="s">
        <v>288</v>
      </c>
      <c r="F45" s="30" t="s">
        <v>289</v>
      </c>
      <c r="G45" s="29" t="s">
        <v>75</v>
      </c>
      <c r="H45" s="29"/>
      <c r="I45" s="29"/>
      <c r="J45" s="33"/>
    </row>
    <row r="46" spans="1:10" s="26" customFormat="1" ht="51">
      <c r="A46" s="141"/>
      <c r="B46" s="45" t="s">
        <v>290</v>
      </c>
      <c r="C46" s="56">
        <v>2</v>
      </c>
      <c r="D46" s="54">
        <v>320</v>
      </c>
      <c r="E46" s="28" t="s">
        <v>288</v>
      </c>
      <c r="F46" s="30" t="s">
        <v>291</v>
      </c>
      <c r="G46" s="29" t="s">
        <v>75</v>
      </c>
      <c r="H46" s="29"/>
      <c r="I46" s="29"/>
      <c r="J46" s="33"/>
    </row>
    <row r="47" spans="1:10" s="26" customFormat="1" ht="34">
      <c r="A47" s="141"/>
      <c r="B47" s="45" t="s">
        <v>292</v>
      </c>
      <c r="C47" s="56">
        <v>2</v>
      </c>
      <c r="D47" s="54">
        <v>326</v>
      </c>
      <c r="E47" s="28" t="s">
        <v>288</v>
      </c>
      <c r="F47" s="30" t="s">
        <v>293</v>
      </c>
      <c r="G47" s="29" t="s">
        <v>75</v>
      </c>
      <c r="H47" s="29"/>
      <c r="I47" s="29"/>
      <c r="J47" s="33"/>
    </row>
    <row r="48" spans="1:10" s="26" customFormat="1" ht="34">
      <c r="A48" s="141"/>
      <c r="B48" s="45" t="s">
        <v>294</v>
      </c>
      <c r="C48" s="56">
        <v>2</v>
      </c>
      <c r="D48" s="54">
        <v>287</v>
      </c>
      <c r="E48" s="28" t="s">
        <v>288</v>
      </c>
      <c r="F48" s="30" t="s">
        <v>295</v>
      </c>
      <c r="G48" s="29" t="s">
        <v>75</v>
      </c>
      <c r="H48" s="29"/>
      <c r="I48" s="29"/>
      <c r="J48" s="33"/>
    </row>
    <row r="49" spans="1:10" s="26" customFormat="1" ht="51">
      <c r="A49" s="141"/>
      <c r="B49" s="45" t="s">
        <v>296</v>
      </c>
      <c r="C49" s="56">
        <v>2</v>
      </c>
      <c r="D49" s="54">
        <v>287</v>
      </c>
      <c r="E49" s="28" t="s">
        <v>297</v>
      </c>
      <c r="F49" s="30" t="s">
        <v>298</v>
      </c>
      <c r="G49" s="29" t="s">
        <v>75</v>
      </c>
      <c r="H49" s="29"/>
      <c r="I49" s="29"/>
      <c r="J49" s="33"/>
    </row>
    <row r="50" spans="1:10" s="26" customFormat="1" ht="51">
      <c r="A50" s="141"/>
      <c r="B50" s="45" t="s">
        <v>299</v>
      </c>
      <c r="C50" s="56">
        <v>2</v>
      </c>
      <c r="D50" s="54">
        <v>613</v>
      </c>
      <c r="E50" s="28" t="s">
        <v>300</v>
      </c>
      <c r="F50" s="30" t="s">
        <v>301</v>
      </c>
      <c r="G50" s="29" t="s">
        <v>75</v>
      </c>
      <c r="H50" s="29"/>
      <c r="I50" s="29"/>
      <c r="J50" s="33"/>
    </row>
    <row r="51" spans="1:10" s="26" customFormat="1" ht="34">
      <c r="A51" s="141"/>
      <c r="B51" s="45" t="s">
        <v>302</v>
      </c>
      <c r="C51" s="55">
        <v>3</v>
      </c>
      <c r="D51" s="54">
        <v>308</v>
      </c>
      <c r="E51" s="28" t="s">
        <v>303</v>
      </c>
      <c r="F51" s="30" t="s">
        <v>304</v>
      </c>
      <c r="G51" s="29" t="s">
        <v>75</v>
      </c>
      <c r="H51" s="29"/>
      <c r="I51" s="29"/>
      <c r="J51" s="33"/>
    </row>
    <row r="52" spans="1:10" s="26" customFormat="1" ht="63.75" customHeight="1">
      <c r="A52" s="141" t="s">
        <v>305</v>
      </c>
      <c r="B52" s="45" t="s">
        <v>306</v>
      </c>
      <c r="C52" s="56">
        <v>2</v>
      </c>
      <c r="D52" s="54">
        <v>320</v>
      </c>
      <c r="E52" s="28" t="s">
        <v>307</v>
      </c>
      <c r="F52" s="30" t="s">
        <v>308</v>
      </c>
      <c r="G52" s="29" t="s">
        <v>75</v>
      </c>
      <c r="H52" s="29"/>
      <c r="I52" s="29"/>
      <c r="J52" s="33"/>
    </row>
    <row r="53" spans="1:10" s="26" customFormat="1" ht="34">
      <c r="A53" s="141"/>
      <c r="B53" s="45" t="s">
        <v>309</v>
      </c>
      <c r="C53" s="56">
        <v>2</v>
      </c>
      <c r="D53" s="54">
        <v>330</v>
      </c>
      <c r="E53" s="28" t="s">
        <v>307</v>
      </c>
      <c r="F53" s="30" t="s">
        <v>310</v>
      </c>
      <c r="G53" s="29" t="s">
        <v>75</v>
      </c>
      <c r="H53" s="29"/>
      <c r="I53" s="29"/>
      <c r="J53" s="33"/>
    </row>
    <row r="54" spans="1:10" s="26" customFormat="1" ht="34">
      <c r="A54" s="141"/>
      <c r="B54" s="45" t="s">
        <v>311</v>
      </c>
      <c r="C54" s="56">
        <v>2</v>
      </c>
      <c r="D54" s="54">
        <v>327</v>
      </c>
      <c r="E54" s="28" t="s">
        <v>307</v>
      </c>
      <c r="F54" s="30" t="s">
        <v>312</v>
      </c>
      <c r="G54" s="29" t="s">
        <v>75</v>
      </c>
      <c r="H54" s="29"/>
      <c r="I54" s="29"/>
      <c r="J54" s="33"/>
    </row>
    <row r="55" spans="1:10" s="26" customFormat="1" ht="79.5" customHeight="1">
      <c r="A55" s="141" t="s">
        <v>313</v>
      </c>
      <c r="B55" s="45" t="s">
        <v>314</v>
      </c>
      <c r="C55" s="56" t="s">
        <v>315</v>
      </c>
      <c r="D55" s="54">
        <v>287</v>
      </c>
      <c r="E55" s="28" t="s">
        <v>316</v>
      </c>
      <c r="F55" s="30" t="s">
        <v>317</v>
      </c>
      <c r="G55" s="29" t="s">
        <v>75</v>
      </c>
      <c r="H55" s="29"/>
      <c r="I55" s="29"/>
      <c r="J55" s="33"/>
    </row>
    <row r="56" spans="1:10" s="26" customFormat="1" ht="51">
      <c r="A56" s="141"/>
      <c r="B56" s="45" t="s">
        <v>318</v>
      </c>
      <c r="C56" s="56" t="s">
        <v>315</v>
      </c>
      <c r="D56" s="54">
        <v>255</v>
      </c>
      <c r="E56" s="28" t="s">
        <v>316</v>
      </c>
      <c r="F56" s="30" t="s">
        <v>319</v>
      </c>
      <c r="G56" s="29" t="s">
        <v>75</v>
      </c>
      <c r="H56" s="29"/>
      <c r="I56" s="29"/>
      <c r="J56" s="33"/>
    </row>
    <row r="57" spans="1:10" s="26" customFormat="1" ht="51">
      <c r="A57" s="141"/>
      <c r="B57" s="45" t="s">
        <v>320</v>
      </c>
      <c r="C57" s="56" t="s">
        <v>315</v>
      </c>
      <c r="D57" s="54">
        <v>522</v>
      </c>
      <c r="E57" s="28" t="s">
        <v>316</v>
      </c>
      <c r="F57" s="30" t="s">
        <v>321</v>
      </c>
      <c r="G57" s="29" t="s">
        <v>75</v>
      </c>
      <c r="H57" s="29"/>
      <c r="I57" s="29"/>
      <c r="J57" s="33"/>
    </row>
    <row r="58" spans="1:10" s="26" customFormat="1" ht="85">
      <c r="A58" s="141"/>
      <c r="B58" s="45" t="s">
        <v>322</v>
      </c>
      <c r="C58" s="57" t="s">
        <v>315</v>
      </c>
      <c r="D58" s="58">
        <v>798</v>
      </c>
      <c r="E58" s="35"/>
      <c r="F58" s="37" t="s">
        <v>323</v>
      </c>
      <c r="G58" s="121" t="s">
        <v>75</v>
      </c>
      <c r="H58" s="36"/>
      <c r="I58" s="36"/>
      <c r="J58" s="38"/>
    </row>
  </sheetData>
  <mergeCells count="10">
    <mergeCell ref="A2:A13"/>
    <mergeCell ref="A14:A20"/>
    <mergeCell ref="A21:A23"/>
    <mergeCell ref="A24:A28"/>
    <mergeCell ref="A29:A35"/>
    <mergeCell ref="A36:A38"/>
    <mergeCell ref="A39:A44"/>
    <mergeCell ref="A45:A51"/>
    <mergeCell ref="A52:A54"/>
    <mergeCell ref="A55:A58"/>
  </mergeCells>
  <dataValidations count="1">
    <dataValidation type="list" operator="equal" showErrorMessage="1" sqref="G2:G58" xr:uid="{00000000-0002-0000-0200-000000000000}">
      <formula1>"Valid,Non-valid,Not Applicable"</formula1>
      <formula2>0</formula2>
    </dataValidation>
  </dataValidations>
  <hyperlinks>
    <hyperlink ref="H4" r:id="rId1" xr:uid="{541BF414-FC30-B842-96C0-5FA0634316AB}"/>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4"/>
  <sheetViews>
    <sheetView zoomScale="95" zoomScaleNormal="95" workbookViewId="0">
      <selection activeCell="G3" sqref="G3"/>
    </sheetView>
  </sheetViews>
  <sheetFormatPr baseColWidth="10" defaultColWidth="8.6640625" defaultRowHeight="21"/>
  <cols>
    <col min="1" max="1" width="40.6640625" style="59" customWidth="1"/>
    <col min="2" max="2" width="10.6640625" style="26" customWidth="1"/>
    <col min="3" max="3" width="11.6640625" style="60" customWidth="1"/>
    <col min="4" max="5" width="8.6640625" style="60"/>
    <col min="6" max="6" width="70" style="26" customWidth="1"/>
    <col min="7" max="7" width="20.5" style="26" customWidth="1"/>
    <col min="8" max="8" width="36.1640625" style="26" customWidth="1"/>
    <col min="9" max="9" width="35.6640625" style="26" customWidth="1"/>
    <col min="10" max="10" width="42.6640625" style="26" customWidth="1"/>
    <col min="11" max="1024" width="8.6640625" style="26"/>
  </cols>
  <sheetData>
    <row r="1" spans="1:10" s="44" customFormat="1" ht="44">
      <c r="A1" s="61" t="s">
        <v>20</v>
      </c>
      <c r="B1" s="62" t="s">
        <v>21</v>
      </c>
      <c r="C1" s="61" t="s">
        <v>22</v>
      </c>
      <c r="D1" s="61" t="s">
        <v>23</v>
      </c>
      <c r="E1" s="61" t="s">
        <v>24</v>
      </c>
      <c r="F1" s="62" t="s">
        <v>25</v>
      </c>
      <c r="G1" s="62" t="s">
        <v>26</v>
      </c>
      <c r="H1" s="62" t="s">
        <v>27</v>
      </c>
      <c r="I1" s="62" t="s">
        <v>28</v>
      </c>
      <c r="J1" s="62" t="s">
        <v>29</v>
      </c>
    </row>
    <row r="2" spans="1:10" ht="44">
      <c r="A2" s="2" t="s">
        <v>324</v>
      </c>
      <c r="B2" s="63" t="s">
        <v>325</v>
      </c>
      <c r="C2" s="64">
        <v>1</v>
      </c>
      <c r="D2" s="47">
        <v>598</v>
      </c>
      <c r="E2" s="65"/>
      <c r="F2" s="134" t="s">
        <v>326</v>
      </c>
      <c r="G2" s="50"/>
      <c r="H2" s="50"/>
      <c r="I2" s="50"/>
      <c r="J2" s="66"/>
    </row>
    <row r="3" spans="1:10" ht="63.75" customHeight="1">
      <c r="A3" s="141" t="s">
        <v>327</v>
      </c>
      <c r="B3" s="63" t="s">
        <v>328</v>
      </c>
      <c r="C3" s="67">
        <v>1</v>
      </c>
      <c r="D3" s="54">
        <v>384</v>
      </c>
      <c r="E3" s="68">
        <v>7.1</v>
      </c>
      <c r="F3" s="30" t="s">
        <v>329</v>
      </c>
      <c r="G3" s="29"/>
      <c r="H3" s="29"/>
      <c r="I3" s="29"/>
      <c r="J3" s="33"/>
    </row>
    <row r="4" spans="1:10" ht="51">
      <c r="A4" s="141"/>
      <c r="B4" s="63" t="s">
        <v>330</v>
      </c>
      <c r="C4" s="67">
        <v>1</v>
      </c>
      <c r="D4" s="54">
        <v>331</v>
      </c>
      <c r="E4" s="68">
        <v>7.1</v>
      </c>
      <c r="F4" s="30" t="s">
        <v>331</v>
      </c>
      <c r="G4" s="29"/>
      <c r="H4" s="29"/>
      <c r="I4" s="29"/>
      <c r="J4" s="33"/>
    </row>
    <row r="5" spans="1:10" ht="51">
      <c r="A5" s="141"/>
      <c r="B5" s="63" t="s">
        <v>332</v>
      </c>
      <c r="C5" s="67">
        <v>1</v>
      </c>
      <c r="D5" s="54">
        <v>539</v>
      </c>
      <c r="E5" s="68">
        <v>7.1</v>
      </c>
      <c r="F5" s="30" t="s">
        <v>333</v>
      </c>
      <c r="G5" s="29"/>
      <c r="H5" s="29"/>
      <c r="I5" s="29"/>
      <c r="J5" s="33"/>
    </row>
    <row r="6" spans="1:10" ht="68">
      <c r="A6" s="141"/>
      <c r="B6" s="63" t="s">
        <v>334</v>
      </c>
      <c r="C6" s="69">
        <v>2</v>
      </c>
      <c r="D6" s="54">
        <v>331</v>
      </c>
      <c r="E6" s="68">
        <v>7.1</v>
      </c>
      <c r="F6" s="30" t="s">
        <v>335</v>
      </c>
      <c r="G6" s="29"/>
      <c r="H6" s="29"/>
      <c r="I6" s="29"/>
      <c r="J6" s="33"/>
    </row>
    <row r="7" spans="1:10" ht="79.5" customHeight="1">
      <c r="A7" s="141" t="s">
        <v>336</v>
      </c>
      <c r="B7" s="63" t="s">
        <v>337</v>
      </c>
      <c r="C7" s="67">
        <v>1</v>
      </c>
      <c r="D7" s="54">
        <v>613</v>
      </c>
      <c r="E7" s="68">
        <v>7.1</v>
      </c>
      <c r="F7" s="30" t="s">
        <v>338</v>
      </c>
      <c r="G7" s="29"/>
      <c r="H7" s="29"/>
      <c r="I7" s="29"/>
      <c r="J7" s="33"/>
    </row>
    <row r="8" spans="1:10" ht="102">
      <c r="A8" s="141"/>
      <c r="B8" s="63" t="s">
        <v>339</v>
      </c>
      <c r="C8" s="67">
        <v>1</v>
      </c>
      <c r="D8" s="54">
        <v>613</v>
      </c>
      <c r="E8" s="68">
        <v>7.2</v>
      </c>
      <c r="F8" s="30" t="s">
        <v>340</v>
      </c>
      <c r="G8" s="29"/>
      <c r="H8" s="29"/>
      <c r="I8" s="29"/>
      <c r="J8" s="33"/>
    </row>
    <row r="9" spans="1:10" ht="68">
      <c r="A9" s="141"/>
      <c r="B9" s="63" t="s">
        <v>341</v>
      </c>
      <c r="C9" s="69">
        <v>2</v>
      </c>
      <c r="D9" s="54">
        <v>613</v>
      </c>
      <c r="E9" s="68"/>
      <c r="F9" s="30" t="s">
        <v>342</v>
      </c>
      <c r="G9" s="29"/>
      <c r="H9" s="29"/>
      <c r="I9" s="29"/>
      <c r="J9" s="33"/>
    </row>
    <row r="10" spans="1:10" ht="34">
      <c r="A10" s="141"/>
      <c r="B10" s="63" t="s">
        <v>343</v>
      </c>
      <c r="C10" s="69">
        <v>2</v>
      </c>
      <c r="D10" s="54">
        <v>613</v>
      </c>
      <c r="E10" s="68">
        <v>7.1</v>
      </c>
      <c r="F10" s="30" t="s">
        <v>344</v>
      </c>
      <c r="G10" s="29"/>
      <c r="H10" s="29"/>
      <c r="I10" s="29"/>
      <c r="J10" s="33"/>
    </row>
    <row r="11" spans="1:10" ht="48" customHeight="1">
      <c r="A11" s="141" t="s">
        <v>345</v>
      </c>
      <c r="B11" s="63" t="s">
        <v>346</v>
      </c>
      <c r="C11" s="67">
        <v>1</v>
      </c>
      <c r="D11" s="54">
        <v>614</v>
      </c>
      <c r="E11" s="68" t="s">
        <v>347</v>
      </c>
      <c r="F11" s="30" t="s">
        <v>348</v>
      </c>
      <c r="G11" s="29"/>
      <c r="H11" s="29"/>
      <c r="I11" s="29"/>
      <c r="J11" s="33"/>
    </row>
    <row r="12" spans="1:10" ht="34">
      <c r="A12" s="141"/>
      <c r="B12" s="63" t="s">
        <v>349</v>
      </c>
      <c r="C12" s="67">
        <v>1</v>
      </c>
      <c r="D12" s="54">
        <v>1004</v>
      </c>
      <c r="E12" s="68" t="s">
        <v>347</v>
      </c>
      <c r="F12" s="30" t="s">
        <v>350</v>
      </c>
      <c r="G12" s="29"/>
      <c r="H12" s="29"/>
      <c r="I12" s="29"/>
      <c r="J12" s="33"/>
    </row>
    <row r="13" spans="1:10" ht="51">
      <c r="A13" s="141"/>
      <c r="B13" s="63" t="s">
        <v>351</v>
      </c>
      <c r="C13" s="67">
        <v>1</v>
      </c>
      <c r="D13" s="54">
        <v>16</v>
      </c>
      <c r="E13" s="68" t="s">
        <v>347</v>
      </c>
      <c r="F13" s="30" t="s">
        <v>352</v>
      </c>
      <c r="G13" s="29"/>
      <c r="H13" s="29"/>
      <c r="I13" s="29"/>
      <c r="J13" s="33"/>
    </row>
    <row r="14" spans="1:10" ht="34">
      <c r="A14" s="141"/>
      <c r="B14" s="63" t="s">
        <v>353</v>
      </c>
      <c r="C14" s="67">
        <v>1</v>
      </c>
      <c r="D14" s="54">
        <v>16</v>
      </c>
      <c r="E14" s="68" t="s">
        <v>347</v>
      </c>
      <c r="F14" s="30" t="s">
        <v>354</v>
      </c>
      <c r="G14" s="29"/>
      <c r="H14" s="29"/>
      <c r="I14" s="29"/>
      <c r="J14" s="33"/>
    </row>
    <row r="15" spans="1:10" ht="85">
      <c r="A15" s="141"/>
      <c r="B15" s="63" t="s">
        <v>355</v>
      </c>
      <c r="C15" s="67">
        <v>1</v>
      </c>
      <c r="D15" s="54">
        <v>16</v>
      </c>
      <c r="E15" s="68" t="s">
        <v>347</v>
      </c>
      <c r="F15" s="30" t="s">
        <v>356</v>
      </c>
      <c r="G15" s="29"/>
      <c r="H15" s="29"/>
      <c r="I15" s="29"/>
      <c r="J15" s="33"/>
    </row>
    <row r="16" spans="1:10" ht="32.25" customHeight="1">
      <c r="A16" s="141" t="s">
        <v>357</v>
      </c>
      <c r="B16" s="63" t="s">
        <v>358</v>
      </c>
      <c r="C16" s="69">
        <v>2</v>
      </c>
      <c r="D16" s="54">
        <v>290</v>
      </c>
      <c r="E16" s="68" t="s">
        <v>359</v>
      </c>
      <c r="F16" s="30" t="s">
        <v>360</v>
      </c>
      <c r="G16" s="29"/>
      <c r="H16" s="29"/>
      <c r="I16" s="29"/>
      <c r="J16" s="33"/>
    </row>
    <row r="17" spans="1:10" ht="34">
      <c r="A17" s="141"/>
      <c r="B17" s="63" t="s">
        <v>361</v>
      </c>
      <c r="C17" s="69">
        <v>2</v>
      </c>
      <c r="D17" s="54">
        <v>798</v>
      </c>
      <c r="E17" s="68"/>
      <c r="F17" s="30" t="s">
        <v>362</v>
      </c>
      <c r="G17" s="29"/>
      <c r="H17" s="29"/>
      <c r="I17" s="29"/>
      <c r="J17" s="33"/>
    </row>
    <row r="18" spans="1:10" ht="51">
      <c r="A18" s="141"/>
      <c r="B18" s="63" t="s">
        <v>363</v>
      </c>
      <c r="C18" s="69">
        <v>2</v>
      </c>
      <c r="D18" s="54">
        <v>345</v>
      </c>
      <c r="E18" s="68"/>
      <c r="F18" s="30" t="s">
        <v>364</v>
      </c>
      <c r="G18" s="29"/>
      <c r="H18" s="29"/>
      <c r="I18" s="29"/>
      <c r="J18" s="33"/>
    </row>
    <row r="19" spans="1:10" ht="63.75" customHeight="1">
      <c r="A19" s="141" t="s">
        <v>365</v>
      </c>
      <c r="B19" s="63" t="s">
        <v>366</v>
      </c>
      <c r="C19" s="70">
        <v>3</v>
      </c>
      <c r="D19" s="54">
        <v>613</v>
      </c>
      <c r="E19" s="68" t="s">
        <v>367</v>
      </c>
      <c r="F19" s="30" t="s">
        <v>368</v>
      </c>
      <c r="G19" s="29"/>
      <c r="H19" s="29"/>
      <c r="I19" s="29"/>
      <c r="J19" s="33"/>
    </row>
    <row r="20" spans="1:10" ht="51">
      <c r="A20" s="141"/>
      <c r="B20" s="63" t="s">
        <v>369</v>
      </c>
      <c r="C20" s="70">
        <v>3</v>
      </c>
      <c r="D20" s="54">
        <v>613</v>
      </c>
      <c r="E20" s="68" t="s">
        <v>367</v>
      </c>
      <c r="F20" s="30" t="s">
        <v>370</v>
      </c>
      <c r="G20" s="29"/>
      <c r="H20" s="29"/>
      <c r="I20" s="29"/>
      <c r="J20" s="33"/>
    </row>
    <row r="21" spans="1:10" ht="51">
      <c r="A21" s="2" t="s">
        <v>371</v>
      </c>
      <c r="B21" s="63" t="s">
        <v>372</v>
      </c>
      <c r="C21" s="71">
        <v>1</v>
      </c>
      <c r="D21" s="58">
        <v>778</v>
      </c>
      <c r="E21" s="72"/>
      <c r="F21" s="37" t="s">
        <v>373</v>
      </c>
      <c r="G21" s="36"/>
      <c r="H21" s="36"/>
      <c r="I21" s="36"/>
      <c r="J21" s="38"/>
    </row>
    <row r="22" spans="1:10" s="26" customFormat="1">
      <c r="A22" s="59"/>
    </row>
    <row r="23" spans="1:10" s="26" customFormat="1">
      <c r="A23" s="59"/>
    </row>
    <row r="24" spans="1:10" s="26" customFormat="1">
      <c r="A24" s="59"/>
    </row>
  </sheetData>
  <mergeCells count="5">
    <mergeCell ref="A3:A6"/>
    <mergeCell ref="A7:A10"/>
    <mergeCell ref="A11:A15"/>
    <mergeCell ref="A16:A18"/>
    <mergeCell ref="A19:A20"/>
  </mergeCells>
  <dataValidations count="1">
    <dataValidation type="list" operator="equal" showErrorMessage="1" sqref="G2:G21"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
  <sheetViews>
    <sheetView topLeftCell="A3" zoomScale="95" zoomScaleNormal="95" workbookViewId="0">
      <selection activeCell="O3" sqref="O3"/>
    </sheetView>
  </sheetViews>
  <sheetFormatPr baseColWidth="10" defaultColWidth="8.6640625" defaultRowHeight="21"/>
  <cols>
    <col min="1" max="1" width="38.5" style="73" customWidth="1"/>
    <col min="2" max="2" width="12.33203125" style="74" customWidth="1"/>
    <col min="3" max="3" width="12.5" style="60" customWidth="1"/>
    <col min="4" max="5" width="8.6640625" style="60"/>
    <col min="6" max="6" width="68.6640625" style="26" customWidth="1"/>
    <col min="7" max="7" width="18.1640625" style="26" customWidth="1"/>
    <col min="8" max="8" width="32.6640625" style="26" customWidth="1"/>
    <col min="9" max="9" width="27.33203125" style="26" customWidth="1"/>
    <col min="10" max="10" width="42.1640625" style="26" customWidth="1"/>
    <col min="11" max="1024" width="8.6640625" style="26"/>
  </cols>
  <sheetData>
    <row r="1" spans="1:10" s="77" customFormat="1">
      <c r="A1" s="41" t="s">
        <v>20</v>
      </c>
      <c r="B1" s="75" t="s">
        <v>21</v>
      </c>
      <c r="C1" s="76" t="s">
        <v>22</v>
      </c>
      <c r="D1" s="76" t="s">
        <v>23</v>
      </c>
      <c r="E1" s="76" t="s">
        <v>24</v>
      </c>
      <c r="F1" s="75" t="s">
        <v>25</v>
      </c>
      <c r="G1" s="75" t="s">
        <v>26</v>
      </c>
      <c r="H1" s="75" t="s">
        <v>27</v>
      </c>
      <c r="I1" s="75" t="s">
        <v>28</v>
      </c>
      <c r="J1" s="75" t="s">
        <v>29</v>
      </c>
    </row>
    <row r="2" spans="1:10" ht="48" customHeight="1">
      <c r="A2" s="141" t="s">
        <v>374</v>
      </c>
      <c r="B2" s="78" t="s">
        <v>375</v>
      </c>
      <c r="C2" s="64">
        <v>1</v>
      </c>
      <c r="D2" s="47">
        <v>602</v>
      </c>
      <c r="E2" s="50"/>
      <c r="F2" s="49" t="s">
        <v>376</v>
      </c>
      <c r="G2" s="50" t="s">
        <v>26</v>
      </c>
      <c r="H2" s="135" t="s">
        <v>52</v>
      </c>
      <c r="I2" s="51" t="s">
        <v>377</v>
      </c>
      <c r="J2" s="66"/>
    </row>
    <row r="3" spans="1:10" ht="119">
      <c r="A3" s="141"/>
      <c r="B3" s="78" t="s">
        <v>378</v>
      </c>
      <c r="C3" s="67">
        <v>1</v>
      </c>
      <c r="D3" s="54">
        <v>639</v>
      </c>
      <c r="E3" s="29"/>
      <c r="F3" s="30" t="s">
        <v>379</v>
      </c>
      <c r="G3" s="29" t="s">
        <v>26</v>
      </c>
      <c r="H3" s="136" t="s">
        <v>52</v>
      </c>
      <c r="I3" s="31" t="s">
        <v>380</v>
      </c>
      <c r="J3" s="33"/>
    </row>
    <row r="4" spans="1:10" ht="119">
      <c r="A4" s="141"/>
      <c r="B4" s="78" t="s">
        <v>381</v>
      </c>
      <c r="C4" s="67">
        <v>1</v>
      </c>
      <c r="D4" s="54">
        <v>285</v>
      </c>
      <c r="E4" s="29"/>
      <c r="F4" s="30" t="s">
        <v>382</v>
      </c>
      <c r="G4" s="29" t="s">
        <v>26</v>
      </c>
      <c r="H4" s="136" t="s">
        <v>52</v>
      </c>
      <c r="I4" s="31" t="s">
        <v>383</v>
      </c>
      <c r="J4" s="33"/>
    </row>
    <row r="5" spans="1:10" ht="17">
      <c r="A5" s="141"/>
      <c r="B5" s="78" t="s">
        <v>384</v>
      </c>
      <c r="C5" s="67">
        <v>1</v>
      </c>
      <c r="D5" s="54">
        <v>276</v>
      </c>
      <c r="E5" s="29"/>
      <c r="F5" s="30" t="s">
        <v>83</v>
      </c>
      <c r="G5" s="29" t="s">
        <v>75</v>
      </c>
      <c r="H5" s="29"/>
      <c r="I5" s="29"/>
      <c r="J5" s="33"/>
    </row>
    <row r="6" spans="1:10" ht="187">
      <c r="A6" s="141"/>
      <c r="B6" s="78" t="s">
        <v>385</v>
      </c>
      <c r="C6" s="67">
        <v>1</v>
      </c>
      <c r="D6" s="54">
        <v>285</v>
      </c>
      <c r="E6" s="29"/>
      <c r="F6" s="30" t="s">
        <v>386</v>
      </c>
      <c r="G6" s="29" t="s">
        <v>26</v>
      </c>
      <c r="H6" s="136" t="s">
        <v>52</v>
      </c>
      <c r="I6" s="31" t="s">
        <v>387</v>
      </c>
      <c r="J6" s="33"/>
    </row>
    <row r="7" spans="1:10" ht="79.5" customHeight="1">
      <c r="A7" s="141" t="s">
        <v>388</v>
      </c>
      <c r="B7" s="78" t="s">
        <v>389</v>
      </c>
      <c r="C7" s="67">
        <v>1</v>
      </c>
      <c r="D7" s="54">
        <v>639</v>
      </c>
      <c r="E7" s="29"/>
      <c r="F7" s="30" t="s">
        <v>390</v>
      </c>
      <c r="G7" s="29" t="s">
        <v>75</v>
      </c>
      <c r="H7" s="136"/>
      <c r="I7" s="29"/>
      <c r="J7" s="33"/>
    </row>
    <row r="8" spans="1:10" ht="51">
      <c r="A8" s="141"/>
      <c r="B8" s="78" t="s">
        <v>391</v>
      </c>
      <c r="C8" s="67">
        <v>1</v>
      </c>
      <c r="D8" s="54">
        <v>352</v>
      </c>
      <c r="E8" s="29"/>
      <c r="F8" s="30" t="s">
        <v>392</v>
      </c>
      <c r="G8" s="29" t="s">
        <v>75</v>
      </c>
      <c r="H8" s="136" t="s">
        <v>52</v>
      </c>
      <c r="I8" s="31" t="s">
        <v>393</v>
      </c>
      <c r="J8" s="33"/>
    </row>
    <row r="9" spans="1:10" ht="32.25" customHeight="1">
      <c r="A9" s="141" t="s">
        <v>394</v>
      </c>
      <c r="B9" s="78" t="s">
        <v>395</v>
      </c>
      <c r="C9" s="67">
        <v>1</v>
      </c>
      <c r="D9" s="54">
        <v>419</v>
      </c>
      <c r="E9" s="29"/>
      <c r="F9" s="30" t="s">
        <v>396</v>
      </c>
      <c r="G9" s="29" t="s">
        <v>75</v>
      </c>
      <c r="H9" s="29"/>
      <c r="I9" s="31" t="s">
        <v>397</v>
      </c>
      <c r="J9" s="33"/>
    </row>
    <row r="10" spans="1:10" ht="85">
      <c r="A10" s="141"/>
      <c r="B10" s="78" t="s">
        <v>398</v>
      </c>
      <c r="C10" s="67">
        <v>1</v>
      </c>
      <c r="D10" s="54">
        <v>548</v>
      </c>
      <c r="E10" s="29"/>
      <c r="F10" s="30" t="s">
        <v>399</v>
      </c>
      <c r="G10" s="29" t="s">
        <v>26</v>
      </c>
      <c r="H10" s="29"/>
      <c r="I10" s="31" t="s">
        <v>400</v>
      </c>
      <c r="J10" s="33"/>
    </row>
    <row r="11" spans="1:10" ht="68">
      <c r="A11" s="141"/>
      <c r="B11" s="78" t="s">
        <v>401</v>
      </c>
      <c r="C11" s="79">
        <v>2</v>
      </c>
      <c r="D11" s="58">
        <v>732</v>
      </c>
      <c r="E11" s="36"/>
      <c r="F11" s="37" t="s">
        <v>402</v>
      </c>
      <c r="G11" s="36" t="s">
        <v>75</v>
      </c>
      <c r="H11" s="36"/>
      <c r="I11" s="36" t="s">
        <v>403</v>
      </c>
      <c r="J11" s="38"/>
    </row>
  </sheetData>
  <mergeCells count="3">
    <mergeCell ref="A2:A6"/>
    <mergeCell ref="A7:A8"/>
    <mergeCell ref="A9:A11"/>
  </mergeCells>
  <dataValidations count="1">
    <dataValidation type="list" operator="equal" showErrorMessage="1" sqref="G2:G11" xr:uid="{00000000-0002-0000-0400-000000000000}">
      <formula1>"Valid,Non-valid,Not Applicable"</formula1>
      <formula2>0</formula2>
    </dataValidation>
  </dataValidations>
  <hyperlinks>
    <hyperlink ref="H2" r:id="rId1" xr:uid="{D31FFBA0-5976-4574-8EC2-CD272768E1CF}"/>
    <hyperlink ref="H3" r:id="rId2" xr:uid="{F7E302BE-39B6-4B3B-9F26-EEF0E13E491E}"/>
    <hyperlink ref="H4" r:id="rId3" xr:uid="{DF4D7DEC-301B-4EC0-B53E-FC69CFB16FA8}"/>
    <hyperlink ref="H6" r:id="rId4" xr:uid="{400AD89A-4F14-4A35-B046-CC5F1CCCBD4C}"/>
    <hyperlink ref="H8" r:id="rId5" xr:uid="{6F2D7A31-1B6F-469C-9A00-911871FF518B}"/>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31"/>
  <sheetViews>
    <sheetView topLeftCell="A18" zoomScale="95" zoomScaleNormal="95" workbookViewId="0">
      <selection activeCell="G31" sqref="G31"/>
    </sheetView>
  </sheetViews>
  <sheetFormatPr baseColWidth="10" defaultColWidth="8.6640625" defaultRowHeight="21"/>
  <cols>
    <col min="1" max="1" width="53.5" style="73" customWidth="1"/>
    <col min="2" max="2" width="11.5" style="26" customWidth="1"/>
    <col min="3" max="5" width="8.6640625" style="60"/>
    <col min="6" max="6" width="60.6640625" style="26" customWidth="1"/>
    <col min="7" max="7" width="22.6640625" style="26" customWidth="1"/>
    <col min="8" max="8" width="41.33203125" style="26" customWidth="1"/>
    <col min="9" max="9" width="35.33203125" style="26" customWidth="1"/>
    <col min="10" max="10" width="29" style="26" customWidth="1"/>
    <col min="11" max="1024" width="8.6640625" style="26"/>
  </cols>
  <sheetData>
    <row r="1" spans="1:10" s="44" customFormat="1" ht="44">
      <c r="A1" s="41" t="s">
        <v>20</v>
      </c>
      <c r="B1" s="62" t="s">
        <v>21</v>
      </c>
      <c r="C1" s="61" t="s">
        <v>22</v>
      </c>
      <c r="D1" s="61" t="s">
        <v>23</v>
      </c>
      <c r="E1" s="61" t="s">
        <v>24</v>
      </c>
      <c r="F1" s="62" t="s">
        <v>25</v>
      </c>
      <c r="G1" s="62" t="s">
        <v>26</v>
      </c>
      <c r="H1" s="62" t="s">
        <v>27</v>
      </c>
      <c r="I1" s="62" t="s">
        <v>28</v>
      </c>
      <c r="J1" s="62" t="s">
        <v>29</v>
      </c>
    </row>
    <row r="2" spans="1:10" ht="79.5" customHeight="1">
      <c r="A2" s="141" t="s">
        <v>404</v>
      </c>
      <c r="B2" s="63" t="s">
        <v>405</v>
      </c>
      <c r="C2" s="64">
        <v>1</v>
      </c>
      <c r="D2" s="47">
        <v>235</v>
      </c>
      <c r="E2" s="65"/>
      <c r="F2" s="80" t="s">
        <v>406</v>
      </c>
      <c r="G2" s="50" t="s">
        <v>75</v>
      </c>
      <c r="H2" s="135" t="s">
        <v>52</v>
      </c>
      <c r="I2" s="50" t="s">
        <v>407</v>
      </c>
      <c r="J2" s="66"/>
    </row>
    <row r="3" spans="1:10" ht="85">
      <c r="A3" s="141"/>
      <c r="B3" s="63" t="s">
        <v>408</v>
      </c>
      <c r="C3" s="67">
        <v>1</v>
      </c>
      <c r="D3" s="54">
        <v>915</v>
      </c>
      <c r="E3" s="68"/>
      <c r="F3" s="81" t="s">
        <v>409</v>
      </c>
      <c r="G3" s="29" t="s">
        <v>26</v>
      </c>
      <c r="H3" s="136" t="s">
        <v>175</v>
      </c>
      <c r="I3" s="31" t="s">
        <v>410</v>
      </c>
      <c r="J3" s="33"/>
    </row>
    <row r="4" spans="1:10" ht="85">
      <c r="A4" s="141"/>
      <c r="B4" s="63" t="s">
        <v>411</v>
      </c>
      <c r="C4" s="67">
        <v>1</v>
      </c>
      <c r="D4" s="54">
        <v>20</v>
      </c>
      <c r="E4" s="68"/>
      <c r="F4" s="81" t="s">
        <v>412</v>
      </c>
      <c r="G4" s="29" t="s">
        <v>26</v>
      </c>
      <c r="H4" s="136" t="s">
        <v>413</v>
      </c>
      <c r="I4" s="31" t="s">
        <v>414</v>
      </c>
      <c r="J4" s="33"/>
    </row>
    <row r="5" spans="1:10" ht="102">
      <c r="A5" s="141"/>
      <c r="B5" s="63" t="s">
        <v>415</v>
      </c>
      <c r="C5" s="67">
        <v>1</v>
      </c>
      <c r="D5" s="54">
        <v>20</v>
      </c>
      <c r="E5" s="68"/>
      <c r="F5" s="81" t="s">
        <v>416</v>
      </c>
      <c r="G5" s="29" t="s">
        <v>26</v>
      </c>
      <c r="H5" s="136" t="s">
        <v>417</v>
      </c>
      <c r="I5" s="31" t="s">
        <v>418</v>
      </c>
      <c r="J5" s="33"/>
    </row>
    <row r="6" spans="1:10" ht="51">
      <c r="A6" s="141"/>
      <c r="B6" s="63" t="s">
        <v>419</v>
      </c>
      <c r="C6" s="67">
        <v>1</v>
      </c>
      <c r="D6" s="54">
        <v>601</v>
      </c>
      <c r="E6" s="68"/>
      <c r="F6" s="81" t="s">
        <v>420</v>
      </c>
      <c r="G6" s="29" t="s">
        <v>75</v>
      </c>
      <c r="H6" s="29"/>
      <c r="I6" s="29" t="s">
        <v>421</v>
      </c>
      <c r="J6" s="33"/>
    </row>
    <row r="7" spans="1:10" ht="63.75" customHeight="1">
      <c r="A7" s="141" t="s">
        <v>422</v>
      </c>
      <c r="B7" s="63" t="s">
        <v>300</v>
      </c>
      <c r="C7" s="67">
        <v>1</v>
      </c>
      <c r="D7" s="54">
        <v>116</v>
      </c>
      <c r="E7" s="68"/>
      <c r="F7" s="81" t="s">
        <v>423</v>
      </c>
      <c r="G7" s="29" t="s">
        <v>75</v>
      </c>
      <c r="H7" s="29"/>
      <c r="I7" s="29" t="s">
        <v>424</v>
      </c>
      <c r="J7" s="33"/>
    </row>
    <row r="8" spans="1:10" ht="34">
      <c r="A8" s="141"/>
      <c r="B8" s="63" t="s">
        <v>425</v>
      </c>
      <c r="C8" s="67">
        <v>1</v>
      </c>
      <c r="D8" s="54">
        <v>138</v>
      </c>
      <c r="E8" s="68"/>
      <c r="F8" s="81" t="s">
        <v>426</v>
      </c>
      <c r="G8" s="29" t="s">
        <v>26</v>
      </c>
      <c r="H8" s="136" t="s">
        <v>427</v>
      </c>
      <c r="I8" s="29" t="s">
        <v>428</v>
      </c>
      <c r="J8" s="33"/>
    </row>
    <row r="9" spans="1:10" ht="34">
      <c r="A9" s="141"/>
      <c r="B9" s="63" t="s">
        <v>303</v>
      </c>
      <c r="C9" s="67">
        <v>1</v>
      </c>
      <c r="D9" s="54">
        <v>147</v>
      </c>
      <c r="E9" s="68"/>
      <c r="F9" s="81" t="s">
        <v>429</v>
      </c>
      <c r="G9" s="29" t="s">
        <v>75</v>
      </c>
      <c r="H9" s="29"/>
      <c r="I9" s="29" t="s">
        <v>430</v>
      </c>
      <c r="J9" s="33"/>
    </row>
    <row r="10" spans="1:10" ht="51">
      <c r="A10" s="141"/>
      <c r="B10" s="63" t="s">
        <v>431</v>
      </c>
      <c r="C10" s="67">
        <v>1</v>
      </c>
      <c r="D10" s="54">
        <v>95</v>
      </c>
      <c r="E10" s="68"/>
      <c r="F10" s="81" t="s">
        <v>432</v>
      </c>
      <c r="G10" s="29" t="s">
        <v>26</v>
      </c>
      <c r="H10" s="29"/>
      <c r="I10" s="29"/>
      <c r="J10" s="33"/>
    </row>
    <row r="11" spans="1:10" ht="51">
      <c r="A11" s="141"/>
      <c r="B11" s="63" t="s">
        <v>216</v>
      </c>
      <c r="C11" s="67">
        <v>1</v>
      </c>
      <c r="D11" s="54">
        <v>94</v>
      </c>
      <c r="E11" s="68"/>
      <c r="F11" s="81" t="s">
        <v>433</v>
      </c>
      <c r="G11" s="29" t="s">
        <v>75</v>
      </c>
      <c r="H11" s="29"/>
      <c r="I11" s="29"/>
      <c r="J11" s="33"/>
    </row>
    <row r="12" spans="1:10" ht="68">
      <c r="A12" s="141"/>
      <c r="B12" s="63" t="s">
        <v>219</v>
      </c>
      <c r="C12" s="67">
        <v>1</v>
      </c>
      <c r="D12" s="54">
        <v>918</v>
      </c>
      <c r="E12" s="68"/>
      <c r="F12" s="81" t="s">
        <v>434</v>
      </c>
      <c r="G12" s="29" t="s">
        <v>26</v>
      </c>
      <c r="H12" s="136" t="s">
        <v>435</v>
      </c>
      <c r="I12" s="31" t="s">
        <v>436</v>
      </c>
      <c r="J12" s="33"/>
    </row>
    <row r="13" spans="1:10" ht="51">
      <c r="A13" s="141"/>
      <c r="B13" s="63" t="s">
        <v>437</v>
      </c>
      <c r="C13" s="67">
        <v>1</v>
      </c>
      <c r="D13" s="54">
        <v>159</v>
      </c>
      <c r="E13" s="68"/>
      <c r="F13" s="81" t="s">
        <v>438</v>
      </c>
      <c r="G13" s="29" t="s">
        <v>26</v>
      </c>
      <c r="H13" s="136" t="s">
        <v>435</v>
      </c>
      <c r="I13" s="31" t="s">
        <v>439</v>
      </c>
      <c r="J13" s="33"/>
    </row>
    <row r="14" spans="1:10" ht="51">
      <c r="A14" s="141"/>
      <c r="B14" s="63" t="s">
        <v>222</v>
      </c>
      <c r="C14" s="67">
        <v>1</v>
      </c>
      <c r="D14" s="54">
        <v>94</v>
      </c>
      <c r="E14" s="68"/>
      <c r="F14" s="81" t="s">
        <v>440</v>
      </c>
      <c r="G14" s="29" t="s">
        <v>26</v>
      </c>
      <c r="H14" s="136" t="s">
        <v>435</v>
      </c>
      <c r="I14" s="31" t="s">
        <v>439</v>
      </c>
      <c r="J14" s="33"/>
    </row>
    <row r="15" spans="1:10" ht="126.75" customHeight="1">
      <c r="A15" s="141" t="s">
        <v>441</v>
      </c>
      <c r="B15" s="63" t="s">
        <v>442</v>
      </c>
      <c r="C15" s="67">
        <v>1</v>
      </c>
      <c r="D15" s="54">
        <v>116</v>
      </c>
      <c r="E15" s="68"/>
      <c r="F15" s="81" t="s">
        <v>443</v>
      </c>
      <c r="G15" s="29" t="s">
        <v>75</v>
      </c>
      <c r="H15" s="29"/>
      <c r="I15" s="29"/>
      <c r="J15" s="33"/>
    </row>
    <row r="16" spans="1:10" ht="68">
      <c r="A16" s="141"/>
      <c r="B16" s="63" t="s">
        <v>444</v>
      </c>
      <c r="C16" s="67">
        <v>1</v>
      </c>
      <c r="D16" s="54">
        <v>176</v>
      </c>
      <c r="E16" s="68"/>
      <c r="F16" s="81" t="s">
        <v>445</v>
      </c>
      <c r="G16" s="29"/>
      <c r="H16" s="29"/>
      <c r="I16" s="29"/>
      <c r="J16" s="33"/>
    </row>
    <row r="17" spans="1:10" ht="68">
      <c r="A17" s="141"/>
      <c r="B17" s="63" t="s">
        <v>446</v>
      </c>
      <c r="C17" s="67">
        <v>1</v>
      </c>
      <c r="D17" s="54">
        <v>79</v>
      </c>
      <c r="E17" s="68"/>
      <c r="F17" s="81" t="s">
        <v>447</v>
      </c>
      <c r="G17" s="29" t="s">
        <v>75</v>
      </c>
      <c r="H17" s="29"/>
      <c r="I17" s="29"/>
      <c r="J17" s="33"/>
    </row>
    <row r="18" spans="1:10" ht="204">
      <c r="A18" s="141"/>
      <c r="B18" s="63" t="s">
        <v>448</v>
      </c>
      <c r="C18" s="67">
        <v>1</v>
      </c>
      <c r="D18" s="54">
        <v>89</v>
      </c>
      <c r="E18" s="68"/>
      <c r="F18" s="81" t="s">
        <v>449</v>
      </c>
      <c r="G18" s="29"/>
      <c r="H18" s="136" t="s">
        <v>450</v>
      </c>
      <c r="I18" s="31" t="s">
        <v>451</v>
      </c>
      <c r="J18" s="33"/>
    </row>
    <row r="19" spans="1:10" ht="85">
      <c r="A19" s="141"/>
      <c r="B19" s="63" t="s">
        <v>452</v>
      </c>
      <c r="C19" s="67">
        <v>1</v>
      </c>
      <c r="D19" s="54">
        <v>89</v>
      </c>
      <c r="E19" s="68"/>
      <c r="F19" s="81" t="s">
        <v>453</v>
      </c>
      <c r="G19" s="29" t="s">
        <v>75</v>
      </c>
      <c r="H19" s="29"/>
      <c r="I19" s="29" t="s">
        <v>454</v>
      </c>
      <c r="J19" s="33"/>
    </row>
    <row r="20" spans="1:10" ht="68">
      <c r="A20" s="141"/>
      <c r="B20" s="63" t="s">
        <v>455</v>
      </c>
      <c r="C20" s="67">
        <v>1</v>
      </c>
      <c r="D20" s="54">
        <v>830</v>
      </c>
      <c r="E20" s="68"/>
      <c r="F20" s="81" t="s">
        <v>456</v>
      </c>
      <c r="G20" s="29" t="s">
        <v>75</v>
      </c>
      <c r="H20" s="29"/>
      <c r="I20" s="29" t="s">
        <v>457</v>
      </c>
      <c r="J20" s="33"/>
    </row>
    <row r="21" spans="1:10" ht="68">
      <c r="A21" s="141"/>
      <c r="B21" s="63" t="s">
        <v>458</v>
      </c>
      <c r="C21" s="67">
        <v>1</v>
      </c>
      <c r="D21" s="54">
        <v>943</v>
      </c>
      <c r="E21" s="68"/>
      <c r="F21" s="81" t="s">
        <v>459</v>
      </c>
      <c r="G21" s="29" t="s">
        <v>75</v>
      </c>
      <c r="H21" s="29"/>
      <c r="I21" s="29" t="s">
        <v>460</v>
      </c>
      <c r="J21" s="33"/>
    </row>
    <row r="22" spans="1:10" ht="85">
      <c r="A22" s="141"/>
      <c r="B22" s="63" t="s">
        <v>461</v>
      </c>
      <c r="C22" s="67">
        <v>1</v>
      </c>
      <c r="D22" s="54">
        <v>78</v>
      </c>
      <c r="E22" s="68"/>
      <c r="F22" s="81" t="s">
        <v>462</v>
      </c>
      <c r="G22" s="29" t="s">
        <v>75</v>
      </c>
      <c r="H22" s="29"/>
      <c r="I22" s="29" t="s">
        <v>463</v>
      </c>
      <c r="J22" s="33"/>
    </row>
    <row r="23" spans="1:10" ht="34">
      <c r="A23" s="141"/>
      <c r="B23" s="63" t="s">
        <v>464</v>
      </c>
      <c r="C23" s="67">
        <v>1</v>
      </c>
      <c r="D23" s="54">
        <v>829</v>
      </c>
      <c r="E23" s="28"/>
      <c r="F23" s="81" t="s">
        <v>465</v>
      </c>
      <c r="G23" s="29" t="s">
        <v>26</v>
      </c>
      <c r="H23" s="136" t="s">
        <v>435</v>
      </c>
      <c r="I23" s="29" t="s">
        <v>466</v>
      </c>
      <c r="J23" s="33"/>
    </row>
    <row r="24" spans="1:10" ht="51">
      <c r="A24" s="141"/>
      <c r="B24" s="63" t="s">
        <v>467</v>
      </c>
      <c r="C24" s="67">
        <v>1</v>
      </c>
      <c r="D24" s="54">
        <v>643</v>
      </c>
      <c r="E24" s="28"/>
      <c r="F24" s="81" t="s">
        <v>468</v>
      </c>
      <c r="G24" s="29"/>
      <c r="H24" s="29"/>
      <c r="I24" s="29"/>
      <c r="J24" s="33"/>
    </row>
    <row r="25" spans="1:10" ht="48" customHeight="1">
      <c r="A25" s="141" t="s">
        <v>469</v>
      </c>
      <c r="B25" s="63" t="s">
        <v>470</v>
      </c>
      <c r="C25" s="69">
        <v>2</v>
      </c>
      <c r="D25" s="54">
        <v>120</v>
      </c>
      <c r="E25" s="28"/>
      <c r="F25" s="81" t="s">
        <v>471</v>
      </c>
      <c r="H25" s="29"/>
      <c r="I25" s="29"/>
      <c r="J25" s="33"/>
    </row>
    <row r="26" spans="1:10" ht="34">
      <c r="A26" s="141"/>
      <c r="B26" s="63" t="s">
        <v>472</v>
      </c>
      <c r="C26" s="69">
        <v>2</v>
      </c>
      <c r="D26" s="54">
        <v>134</v>
      </c>
      <c r="E26" s="28"/>
      <c r="F26" s="81" t="s">
        <v>473</v>
      </c>
      <c r="G26" s="29" t="s">
        <v>75</v>
      </c>
      <c r="H26" s="29"/>
      <c r="I26" s="29"/>
      <c r="J26" s="33"/>
    </row>
    <row r="27" spans="1:10" ht="34">
      <c r="A27" s="141"/>
      <c r="B27" s="63" t="s">
        <v>474</v>
      </c>
      <c r="C27" s="69">
        <v>2</v>
      </c>
      <c r="D27" s="54">
        <v>190</v>
      </c>
      <c r="E27" s="28"/>
      <c r="F27" s="81" t="s">
        <v>475</v>
      </c>
      <c r="G27" s="29" t="s">
        <v>75</v>
      </c>
      <c r="H27" s="29"/>
      <c r="I27" s="29"/>
      <c r="J27" s="33"/>
    </row>
    <row r="28" spans="1:10" ht="63.75" customHeight="1">
      <c r="A28" s="141" t="s">
        <v>476</v>
      </c>
      <c r="B28" s="63" t="s">
        <v>477</v>
      </c>
      <c r="C28" s="67">
        <v>1</v>
      </c>
      <c r="D28" s="54">
        <v>502</v>
      </c>
      <c r="E28" s="28"/>
      <c r="F28" s="81" t="s">
        <v>478</v>
      </c>
      <c r="G28" s="29" t="s">
        <v>26</v>
      </c>
      <c r="H28" s="136" t="s">
        <v>52</v>
      </c>
      <c r="I28" s="29" t="s">
        <v>479</v>
      </c>
      <c r="J28" s="33"/>
    </row>
    <row r="29" spans="1:10" ht="68">
      <c r="A29" s="141"/>
      <c r="B29" s="63" t="s">
        <v>480</v>
      </c>
      <c r="C29" s="67">
        <v>1</v>
      </c>
      <c r="D29" s="54">
        <v>611</v>
      </c>
      <c r="E29" s="28"/>
      <c r="F29" s="81" t="s">
        <v>481</v>
      </c>
      <c r="G29" s="29"/>
      <c r="H29" s="29"/>
      <c r="I29" s="29"/>
      <c r="J29" s="33"/>
    </row>
    <row r="30" spans="1:10" ht="51">
      <c r="A30" s="141"/>
      <c r="B30" s="63" t="s">
        <v>482</v>
      </c>
      <c r="C30" s="67">
        <v>1</v>
      </c>
      <c r="D30" s="54">
        <v>502</v>
      </c>
      <c r="E30" s="28"/>
      <c r="F30" s="81" t="s">
        <v>483</v>
      </c>
      <c r="G30" s="29"/>
      <c r="H30" s="29"/>
      <c r="I30" s="29"/>
      <c r="J30" s="33"/>
    </row>
    <row r="31" spans="1:10" ht="51">
      <c r="A31" s="141"/>
      <c r="B31" s="63" t="s">
        <v>484</v>
      </c>
      <c r="C31" s="71">
        <v>1</v>
      </c>
      <c r="D31" s="58">
        <v>95</v>
      </c>
      <c r="E31" s="35"/>
      <c r="F31" s="82" t="s">
        <v>485</v>
      </c>
      <c r="G31" s="36" t="s">
        <v>75</v>
      </c>
      <c r="H31" s="36"/>
      <c r="I31" s="36" t="s">
        <v>486</v>
      </c>
      <c r="J31" s="38"/>
    </row>
  </sheetData>
  <mergeCells count="5">
    <mergeCell ref="A2:A6"/>
    <mergeCell ref="A7:A14"/>
    <mergeCell ref="A15:A24"/>
    <mergeCell ref="A25:A27"/>
    <mergeCell ref="A28:A31"/>
  </mergeCells>
  <dataValidations count="1">
    <dataValidation type="list" operator="equal" showErrorMessage="1" sqref="G2:G24 G26:G31 H25" xr:uid="{00000000-0002-0000-0500-000000000000}">
      <formula1>"Valid,Non-valid,Not Applicable"</formula1>
      <formula2>0</formula2>
    </dataValidation>
  </dataValidations>
  <hyperlinks>
    <hyperlink ref="H2" r:id="rId1" xr:uid="{E2CAAF3F-D07A-494C-AE8E-45E2CF522008}"/>
    <hyperlink ref="H3" r:id="rId2" xr:uid="{F3164F80-3CA2-4A67-A31A-065FED63672C}"/>
    <hyperlink ref="H4" r:id="rId3" xr:uid="{B7852959-4F45-47AE-8DDA-002C600A4AE1}"/>
    <hyperlink ref="H5" r:id="rId4" xr:uid="{BFB94FB0-972D-455F-89BC-1CDA24BDAD96}"/>
    <hyperlink ref="H8" r:id="rId5" xr:uid="{247F1544-5085-4191-9B83-E8E8CA43F5AB}"/>
    <hyperlink ref="H12" r:id="rId6" xr:uid="{D1D044A0-620D-40E0-9C12-23FCA50069B3}"/>
    <hyperlink ref="H13" r:id="rId7" xr:uid="{55A196CD-24DF-4632-9C46-8F1B6F024CAF}"/>
    <hyperlink ref="H14" r:id="rId8" xr:uid="{6B239A0E-9C1E-4B47-8A1B-FC5958E11DFA}"/>
    <hyperlink ref="H18" r:id="rId9" xr:uid="{F05A50E1-6EBB-4B81-842D-9F45F3F70440}"/>
    <hyperlink ref="H23" r:id="rId10" xr:uid="{904F8DC2-9CFC-4885-AA22-6D7B4C78C887}"/>
    <hyperlink ref="H28" r:id="rId11" xr:uid="{265A6AA4-F840-4516-B1C9-1B6F6996B063}"/>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7"/>
  <sheetViews>
    <sheetView zoomScale="95" zoomScaleNormal="95" workbookViewId="0">
      <selection activeCell="M5" sqref="M5"/>
    </sheetView>
  </sheetViews>
  <sheetFormatPr baseColWidth="10" defaultColWidth="8.6640625" defaultRowHeight="21"/>
  <cols>
    <col min="1" max="1" width="35.33203125" style="73" customWidth="1"/>
    <col min="2" max="2" width="6.6640625" style="26" customWidth="1"/>
    <col min="3" max="3" width="12.5" style="60" customWidth="1"/>
    <col min="4" max="5" width="8.6640625" style="60"/>
    <col min="6" max="6" width="97.1640625" style="26" customWidth="1"/>
    <col min="7" max="7" width="8.5" style="26" customWidth="1"/>
    <col min="8" max="8" width="36.1640625" style="26" customWidth="1"/>
    <col min="9" max="9" width="18" style="26" customWidth="1"/>
    <col min="10" max="10" width="27.33203125" style="26" customWidth="1"/>
    <col min="11" max="1024" width="8.6640625" style="26"/>
  </cols>
  <sheetData>
    <row r="1" spans="1:10" s="44" customFormat="1" ht="44">
      <c r="A1" s="41" t="s">
        <v>20</v>
      </c>
      <c r="B1" s="62" t="s">
        <v>21</v>
      </c>
      <c r="C1" s="61" t="s">
        <v>22</v>
      </c>
      <c r="D1" s="61" t="s">
        <v>23</v>
      </c>
      <c r="E1" s="61" t="s">
        <v>24</v>
      </c>
      <c r="F1" s="62" t="s">
        <v>25</v>
      </c>
      <c r="G1" s="62" t="s">
        <v>26</v>
      </c>
      <c r="H1" s="62" t="s">
        <v>27</v>
      </c>
      <c r="I1" s="62" t="s">
        <v>28</v>
      </c>
      <c r="J1" s="62" t="s">
        <v>29</v>
      </c>
    </row>
    <row r="2" spans="1:10" ht="48" customHeight="1">
      <c r="A2" s="141" t="s">
        <v>487</v>
      </c>
      <c r="B2" s="63" t="s">
        <v>488</v>
      </c>
      <c r="C2" s="83">
        <v>2</v>
      </c>
      <c r="D2" s="47">
        <v>311</v>
      </c>
      <c r="E2" s="65"/>
      <c r="F2" s="80" t="s">
        <v>489</v>
      </c>
      <c r="G2" s="50"/>
      <c r="H2" s="50"/>
      <c r="I2" s="50"/>
      <c r="J2" s="66"/>
    </row>
    <row r="3" spans="1:10" ht="34">
      <c r="A3" s="141"/>
      <c r="B3" s="63" t="s">
        <v>490</v>
      </c>
      <c r="C3" s="69">
        <v>2</v>
      </c>
      <c r="D3" s="54">
        <v>311</v>
      </c>
      <c r="E3" s="68"/>
      <c r="F3" s="81" t="s">
        <v>491</v>
      </c>
      <c r="G3" s="29"/>
      <c r="H3" s="29"/>
      <c r="I3" s="29"/>
      <c r="J3" s="33"/>
    </row>
    <row r="4" spans="1:10" ht="34">
      <c r="A4" s="141"/>
      <c r="B4" s="63" t="s">
        <v>232</v>
      </c>
      <c r="C4" s="69">
        <v>2</v>
      </c>
      <c r="D4" s="54">
        <v>311</v>
      </c>
      <c r="E4" s="68"/>
      <c r="F4" s="81" t="s">
        <v>492</v>
      </c>
      <c r="G4" s="29"/>
      <c r="H4" s="29"/>
      <c r="I4" s="29"/>
      <c r="J4" s="33"/>
    </row>
    <row r="5" spans="1:10" ht="32.25" customHeight="1">
      <c r="A5" s="141" t="s">
        <v>493</v>
      </c>
      <c r="B5" s="63" t="s">
        <v>494</v>
      </c>
      <c r="C5" s="67">
        <v>1</v>
      </c>
      <c r="D5" s="54">
        <v>310</v>
      </c>
      <c r="E5" s="68"/>
      <c r="F5" s="81" t="s">
        <v>495</v>
      </c>
      <c r="G5" s="29"/>
      <c r="H5" s="29"/>
      <c r="I5" s="29"/>
      <c r="J5" s="33"/>
    </row>
    <row r="6" spans="1:10" ht="51">
      <c r="A6" s="141"/>
      <c r="B6" s="63" t="s">
        <v>496</v>
      </c>
      <c r="C6" s="69">
        <v>2</v>
      </c>
      <c r="D6" s="54">
        <v>327</v>
      </c>
      <c r="E6" s="68"/>
      <c r="F6" s="81" t="s">
        <v>497</v>
      </c>
      <c r="G6" s="29"/>
      <c r="H6" s="29"/>
      <c r="I6" s="29"/>
      <c r="J6" s="33"/>
    </row>
    <row r="7" spans="1:10" ht="34">
      <c r="A7" s="141"/>
      <c r="B7" s="63" t="s">
        <v>498</v>
      </c>
      <c r="C7" s="69">
        <v>2</v>
      </c>
      <c r="D7" s="54">
        <v>326</v>
      </c>
      <c r="E7" s="68"/>
      <c r="F7" s="81" t="s">
        <v>499</v>
      </c>
      <c r="G7" s="29"/>
      <c r="H7" s="29"/>
      <c r="I7" s="29"/>
      <c r="J7" s="33"/>
    </row>
    <row r="8" spans="1:10" ht="51">
      <c r="A8" s="141"/>
      <c r="B8" s="63" t="s">
        <v>500</v>
      </c>
      <c r="C8" s="69">
        <v>2</v>
      </c>
      <c r="D8" s="54">
        <v>326</v>
      </c>
      <c r="E8" s="68"/>
      <c r="F8" s="81" t="s">
        <v>501</v>
      </c>
      <c r="G8" s="29"/>
      <c r="H8" s="29"/>
      <c r="I8" s="29"/>
      <c r="J8" s="33"/>
    </row>
    <row r="9" spans="1:10" ht="51">
      <c r="A9" s="141"/>
      <c r="B9" s="63" t="s">
        <v>502</v>
      </c>
      <c r="C9" s="69">
        <v>2</v>
      </c>
      <c r="D9" s="54">
        <v>326</v>
      </c>
      <c r="E9" s="68"/>
      <c r="F9" s="81" t="s">
        <v>503</v>
      </c>
      <c r="G9" s="29"/>
      <c r="H9" s="29"/>
      <c r="I9" s="29"/>
      <c r="J9" s="33"/>
    </row>
    <row r="10" spans="1:10" ht="34">
      <c r="A10" s="141"/>
      <c r="B10" s="63" t="s">
        <v>504</v>
      </c>
      <c r="C10" s="69">
        <v>2</v>
      </c>
      <c r="D10" s="54">
        <v>326</v>
      </c>
      <c r="E10" s="68"/>
      <c r="F10" s="81" t="s">
        <v>505</v>
      </c>
      <c r="G10" s="29"/>
      <c r="H10" s="29"/>
      <c r="I10" s="29"/>
      <c r="J10" s="33"/>
    </row>
    <row r="11" spans="1:10" ht="34">
      <c r="A11" s="141"/>
      <c r="B11" s="63" t="s">
        <v>506</v>
      </c>
      <c r="C11" s="70">
        <v>3</v>
      </c>
      <c r="D11" s="54">
        <v>326</v>
      </c>
      <c r="E11" s="68"/>
      <c r="F11" s="81" t="s">
        <v>507</v>
      </c>
      <c r="G11" s="29"/>
      <c r="H11" s="29"/>
      <c r="I11" s="29"/>
      <c r="J11" s="33"/>
    </row>
    <row r="12" spans="1:10" ht="34">
      <c r="A12" s="141"/>
      <c r="B12" s="63" t="s">
        <v>508</v>
      </c>
      <c r="C12" s="70">
        <v>3</v>
      </c>
      <c r="D12" s="54">
        <v>385</v>
      </c>
      <c r="E12" s="68"/>
      <c r="F12" s="81" t="s">
        <v>509</v>
      </c>
      <c r="G12" s="29"/>
      <c r="H12" s="29"/>
      <c r="I12" s="29"/>
      <c r="J12" s="33"/>
    </row>
    <row r="13" spans="1:10" ht="48" customHeight="1">
      <c r="A13" s="141" t="s">
        <v>510</v>
      </c>
      <c r="B13" s="63" t="s">
        <v>511</v>
      </c>
      <c r="C13" s="69">
        <v>2</v>
      </c>
      <c r="D13" s="54">
        <v>338</v>
      </c>
      <c r="E13" s="28"/>
      <c r="F13" s="81" t="s">
        <v>512</v>
      </c>
      <c r="G13" s="29"/>
      <c r="H13" s="29"/>
      <c r="I13" s="29"/>
      <c r="J13" s="33"/>
    </row>
    <row r="14" spans="1:10" ht="51">
      <c r="A14" s="141"/>
      <c r="B14" s="63" t="s">
        <v>513</v>
      </c>
      <c r="C14" s="69">
        <v>2</v>
      </c>
      <c r="D14" s="54">
        <v>338</v>
      </c>
      <c r="E14" s="28"/>
      <c r="F14" s="81" t="s">
        <v>514</v>
      </c>
      <c r="G14" s="29"/>
      <c r="H14" s="29"/>
      <c r="I14" s="29"/>
      <c r="J14" s="33"/>
    </row>
    <row r="15" spans="1:10" ht="34">
      <c r="A15" s="141"/>
      <c r="B15" s="63" t="s">
        <v>515</v>
      </c>
      <c r="C15" s="70">
        <v>3</v>
      </c>
      <c r="D15" s="54">
        <v>338</v>
      </c>
      <c r="E15" s="28"/>
      <c r="F15" s="81" t="s">
        <v>516</v>
      </c>
      <c r="G15" s="29"/>
      <c r="H15" s="29"/>
      <c r="I15" s="29"/>
      <c r="J15" s="33"/>
    </row>
    <row r="16" spans="1:10" ht="48" customHeight="1">
      <c r="A16" s="141" t="s">
        <v>517</v>
      </c>
      <c r="B16" s="63" t="s">
        <v>518</v>
      </c>
      <c r="C16" s="69">
        <v>2</v>
      </c>
      <c r="D16" s="54">
        <v>798</v>
      </c>
      <c r="E16" s="28"/>
      <c r="F16" s="81" t="s">
        <v>519</v>
      </c>
      <c r="G16" s="29"/>
      <c r="H16" s="29"/>
      <c r="I16" s="29"/>
      <c r="J16" s="33"/>
    </row>
    <row r="17" spans="1:10" ht="34">
      <c r="A17" s="141"/>
      <c r="B17" s="63" t="s">
        <v>520</v>
      </c>
      <c r="C17" s="79">
        <v>2</v>
      </c>
      <c r="D17" s="58">
        <v>320</v>
      </c>
      <c r="E17" s="35"/>
      <c r="F17" s="82" t="s">
        <v>521</v>
      </c>
      <c r="G17" s="36"/>
      <c r="H17" s="36"/>
      <c r="I17" s="36"/>
      <c r="J17" s="38"/>
    </row>
  </sheetData>
  <mergeCells count="4">
    <mergeCell ref="A2:A4"/>
    <mergeCell ref="A5:A12"/>
    <mergeCell ref="A13:A15"/>
    <mergeCell ref="A16:A17"/>
  </mergeCells>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4"/>
  <sheetViews>
    <sheetView zoomScale="85" zoomScaleNormal="85" workbookViewId="0">
      <selection activeCell="H14" sqref="H14"/>
    </sheetView>
  </sheetViews>
  <sheetFormatPr baseColWidth="10" defaultColWidth="8.6640625" defaultRowHeight="21"/>
  <cols>
    <col min="1" max="1" width="31.5" style="73" customWidth="1"/>
    <col min="2" max="2" width="6.6640625" style="26" customWidth="1"/>
    <col min="3" max="3" width="15.1640625" style="60" customWidth="1"/>
    <col min="4" max="5" width="8.6640625" style="60"/>
    <col min="6" max="6" width="80.33203125" style="26" customWidth="1"/>
    <col min="7" max="7" width="16.6640625" style="26" customWidth="1"/>
    <col min="8" max="8" width="31" style="26" customWidth="1"/>
    <col min="9" max="9" width="24" style="26" customWidth="1"/>
    <col min="10" max="10" width="35.1640625" style="26" customWidth="1"/>
    <col min="11" max="1024" width="8.6640625" style="26"/>
  </cols>
  <sheetData>
    <row r="1" spans="1:10" s="88" customFormat="1" ht="22">
      <c r="A1" s="84" t="s">
        <v>20</v>
      </c>
      <c r="B1" s="85" t="s">
        <v>21</v>
      </c>
      <c r="C1" s="86" t="s">
        <v>22</v>
      </c>
      <c r="D1" s="86" t="s">
        <v>23</v>
      </c>
      <c r="E1" s="86" t="s">
        <v>24</v>
      </c>
      <c r="F1" s="87" t="s">
        <v>25</v>
      </c>
      <c r="G1" s="87" t="s">
        <v>26</v>
      </c>
      <c r="H1" s="87" t="s">
        <v>27</v>
      </c>
      <c r="I1" s="87" t="s">
        <v>28</v>
      </c>
      <c r="J1" s="87" t="s">
        <v>29</v>
      </c>
    </row>
    <row r="2" spans="1:10" ht="48" customHeight="1">
      <c r="A2" s="141" t="s">
        <v>522</v>
      </c>
      <c r="B2" s="63" t="s">
        <v>347</v>
      </c>
      <c r="C2" s="89">
        <v>1</v>
      </c>
      <c r="D2" s="90">
        <v>532</v>
      </c>
      <c r="E2" s="91"/>
      <c r="F2" s="92" t="s">
        <v>523</v>
      </c>
      <c r="G2" s="93" t="s">
        <v>26</v>
      </c>
      <c r="H2" s="130" t="s">
        <v>524</v>
      </c>
      <c r="I2" s="93" t="s">
        <v>525</v>
      </c>
      <c r="J2" s="94"/>
    </row>
    <row r="3" spans="1:10" ht="51">
      <c r="A3" s="141"/>
      <c r="B3" s="63" t="s">
        <v>359</v>
      </c>
      <c r="C3" s="67">
        <v>1</v>
      </c>
      <c r="D3" s="28">
        <v>532</v>
      </c>
      <c r="E3" s="68"/>
      <c r="F3" s="81" t="s">
        <v>526</v>
      </c>
      <c r="G3" s="29" t="s">
        <v>26</v>
      </c>
      <c r="H3" s="125" t="s">
        <v>524</v>
      </c>
      <c r="I3" s="29" t="s">
        <v>527</v>
      </c>
      <c r="J3" s="33"/>
    </row>
    <row r="4" spans="1:10" ht="51">
      <c r="A4" s="141"/>
      <c r="B4" s="63" t="s">
        <v>528</v>
      </c>
      <c r="C4" s="69">
        <v>2</v>
      </c>
      <c r="D4" s="28">
        <v>778</v>
      </c>
      <c r="E4" s="68"/>
      <c r="F4" s="81" t="s">
        <v>529</v>
      </c>
      <c r="G4" s="29" t="s">
        <v>26</v>
      </c>
      <c r="H4" s="125" t="s">
        <v>524</v>
      </c>
      <c r="I4" s="29" t="s">
        <v>530</v>
      </c>
      <c r="J4" s="33"/>
    </row>
    <row r="5" spans="1:10" ht="51">
      <c r="A5" s="141"/>
      <c r="B5" s="63" t="s">
        <v>531</v>
      </c>
      <c r="C5" s="69">
        <v>2</v>
      </c>
      <c r="D5" s="28">
        <v>778</v>
      </c>
      <c r="E5" s="68"/>
      <c r="F5" s="81" t="s">
        <v>532</v>
      </c>
      <c r="G5" s="29" t="s">
        <v>26</v>
      </c>
      <c r="H5" s="29" t="s">
        <v>533</v>
      </c>
      <c r="I5" s="29" t="s">
        <v>530</v>
      </c>
      <c r="J5" s="33"/>
    </row>
    <row r="6" spans="1:10" ht="48" customHeight="1">
      <c r="A6" s="141" t="s">
        <v>534</v>
      </c>
      <c r="B6" s="63" t="s">
        <v>367</v>
      </c>
      <c r="C6" s="69">
        <v>2</v>
      </c>
      <c r="D6" s="28">
        <v>778</v>
      </c>
      <c r="E6" s="68"/>
      <c r="F6" s="81" t="s">
        <v>535</v>
      </c>
      <c r="G6" s="29" t="s">
        <v>26</v>
      </c>
      <c r="H6" s="125" t="s">
        <v>524</v>
      </c>
      <c r="I6" s="29" t="s">
        <v>527</v>
      </c>
      <c r="J6" s="33"/>
    </row>
    <row r="7" spans="1:10" ht="34">
      <c r="A7" s="141"/>
      <c r="B7" s="63" t="s">
        <v>536</v>
      </c>
      <c r="C7" s="69">
        <v>2</v>
      </c>
      <c r="D7" s="28">
        <v>285</v>
      </c>
      <c r="E7" s="68"/>
      <c r="F7" s="81" t="s">
        <v>537</v>
      </c>
      <c r="G7" s="29" t="s">
        <v>26</v>
      </c>
      <c r="H7" s="125" t="s">
        <v>524</v>
      </c>
      <c r="I7" s="29" t="s">
        <v>538</v>
      </c>
      <c r="J7" s="33"/>
    </row>
    <row r="8" spans="1:10" ht="48" customHeight="1">
      <c r="A8" s="141" t="s">
        <v>539</v>
      </c>
      <c r="B8" s="63" t="s">
        <v>540</v>
      </c>
      <c r="C8" s="69">
        <v>2</v>
      </c>
      <c r="D8" s="28">
        <v>117</v>
      </c>
      <c r="E8" s="68"/>
      <c r="F8" s="81" t="s">
        <v>541</v>
      </c>
      <c r="G8" s="29" t="s">
        <v>26</v>
      </c>
      <c r="H8" s="29" t="s">
        <v>542</v>
      </c>
      <c r="I8" s="29" t="s">
        <v>543</v>
      </c>
      <c r="J8" s="33"/>
    </row>
    <row r="9" spans="1:10" ht="17">
      <c r="A9" s="141"/>
      <c r="B9" s="63" t="s">
        <v>544</v>
      </c>
      <c r="C9" s="69">
        <v>2</v>
      </c>
      <c r="D9" s="28">
        <v>117</v>
      </c>
      <c r="E9" s="68"/>
      <c r="F9" s="81" t="s">
        <v>545</v>
      </c>
      <c r="G9" s="29" t="s">
        <v>75</v>
      </c>
      <c r="H9" s="29"/>
      <c r="I9" s="29"/>
      <c r="J9" s="33"/>
    </row>
    <row r="10" spans="1:10" ht="34">
      <c r="A10" s="141"/>
      <c r="B10" s="63" t="s">
        <v>546</v>
      </c>
      <c r="C10" s="69">
        <v>2</v>
      </c>
      <c r="D10" s="28">
        <v>200</v>
      </c>
      <c r="E10" s="68"/>
      <c r="F10" s="81" t="s">
        <v>547</v>
      </c>
      <c r="G10" s="29" t="s">
        <v>75</v>
      </c>
      <c r="H10" s="29"/>
      <c r="I10" s="29"/>
      <c r="J10" s="33"/>
    </row>
    <row r="11" spans="1:10" ht="51">
      <c r="A11" s="141"/>
      <c r="B11" s="63" t="s">
        <v>548</v>
      </c>
      <c r="C11" s="69">
        <v>2</v>
      </c>
      <c r="D11" s="28"/>
      <c r="E11" s="68"/>
      <c r="F11" s="81" t="s">
        <v>549</v>
      </c>
      <c r="G11" s="29" t="s">
        <v>75</v>
      </c>
      <c r="H11" s="29"/>
      <c r="I11" s="29"/>
      <c r="J11" s="33"/>
    </row>
    <row r="12" spans="1:10" ht="63.75" customHeight="1">
      <c r="A12" s="141" t="s">
        <v>550</v>
      </c>
      <c r="B12" s="63" t="s">
        <v>551</v>
      </c>
      <c r="C12" s="67">
        <v>1</v>
      </c>
      <c r="D12" s="28">
        <v>210</v>
      </c>
      <c r="E12" s="68"/>
      <c r="F12" s="81" t="s">
        <v>552</v>
      </c>
      <c r="G12" s="29" t="s">
        <v>26</v>
      </c>
      <c r="H12" s="29" t="s">
        <v>542</v>
      </c>
      <c r="I12" s="29" t="s">
        <v>553</v>
      </c>
      <c r="J12" s="33"/>
    </row>
    <row r="13" spans="1:10" ht="51">
      <c r="A13" s="141"/>
      <c r="B13" s="63" t="s">
        <v>554</v>
      </c>
      <c r="C13" s="69">
        <v>2</v>
      </c>
      <c r="D13" s="28">
        <v>544</v>
      </c>
      <c r="E13" s="68"/>
      <c r="F13" s="81" t="s">
        <v>555</v>
      </c>
      <c r="G13" s="29" t="s">
        <v>26</v>
      </c>
      <c r="H13" s="29" t="s">
        <v>524</v>
      </c>
      <c r="I13" s="29" t="s">
        <v>556</v>
      </c>
      <c r="J13" s="33"/>
    </row>
    <row r="14" spans="1:10" ht="34">
      <c r="A14" s="141"/>
      <c r="B14" s="63" t="s">
        <v>557</v>
      </c>
      <c r="C14" s="79">
        <v>2</v>
      </c>
      <c r="D14" s="35">
        <v>431</v>
      </c>
      <c r="E14" s="72"/>
      <c r="F14" s="82" t="s">
        <v>558</v>
      </c>
      <c r="G14" s="36" t="s">
        <v>26</v>
      </c>
      <c r="H14" s="133" t="s">
        <v>542</v>
      </c>
      <c r="I14" s="36" t="s">
        <v>553</v>
      </c>
      <c r="J14" s="38"/>
    </row>
  </sheetData>
  <mergeCells count="4">
    <mergeCell ref="A2:A5"/>
    <mergeCell ref="A6:A7"/>
    <mergeCell ref="A8:A11"/>
    <mergeCell ref="A12:A14"/>
  </mergeCells>
  <dataValidations count="1">
    <dataValidation type="list" operator="equal" showErrorMessage="1" sqref="G2:G14" xr:uid="{00000000-0002-0000-0700-000000000000}">
      <formula1>"Valid,Non-valid,Not Applicable"</formula1>
      <formula2>0</formula2>
    </dataValidation>
  </dataValidations>
  <hyperlinks>
    <hyperlink ref="H2" r:id="rId1" xr:uid="{B60C74CF-B4B2-A848-A108-68AD5273100A}"/>
    <hyperlink ref="H4" r:id="rId2" xr:uid="{5CC104B8-6B56-364F-82F9-1E52E84FBDCF}"/>
    <hyperlink ref="H3" r:id="rId3" xr:uid="{F2CE7383-6DFD-024D-9822-0D8503216EA8}"/>
    <hyperlink ref="H6" r:id="rId4" xr:uid="{794B61A3-A25D-0F41-B1E4-E90A653CAC36}"/>
    <hyperlink ref="H7" r:id="rId5" xr:uid="{9388033A-5276-5241-B199-577B5DB78921}"/>
    <hyperlink ref="H14" r:id="rId6" xr:uid="{DF4F971C-F688-AD4D-BADC-72A59682438B}"/>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8"/>
  <sheetViews>
    <sheetView zoomScale="95" zoomScaleNormal="95" workbookViewId="0">
      <selection activeCell="H4" sqref="H4"/>
    </sheetView>
  </sheetViews>
  <sheetFormatPr baseColWidth="10" defaultColWidth="8.6640625" defaultRowHeight="21"/>
  <cols>
    <col min="1" max="1" width="30.6640625" style="73" customWidth="1"/>
    <col min="2" max="2" width="8.6640625" style="26"/>
    <col min="3" max="5" width="8.6640625" style="60"/>
    <col min="6" max="6" width="93" style="26" customWidth="1"/>
    <col min="7" max="7" width="12.5" style="26" customWidth="1"/>
    <col min="8" max="8" width="35.6640625" style="26" customWidth="1"/>
    <col min="9" max="9" width="17.5" style="26" customWidth="1"/>
    <col min="10" max="10" width="30.6640625" style="26" customWidth="1"/>
    <col min="11" max="1024" width="8.6640625" style="26"/>
  </cols>
  <sheetData>
    <row r="1" spans="1:10" s="44" customFormat="1" ht="44">
      <c r="A1" s="95" t="s">
        <v>20</v>
      </c>
      <c r="B1" s="62" t="s">
        <v>21</v>
      </c>
      <c r="C1" s="61" t="s">
        <v>22</v>
      </c>
      <c r="D1" s="61" t="s">
        <v>23</v>
      </c>
      <c r="E1" s="61" t="s">
        <v>24</v>
      </c>
      <c r="F1" s="62" t="s">
        <v>25</v>
      </c>
      <c r="G1" s="62" t="s">
        <v>26</v>
      </c>
      <c r="H1" s="62" t="s">
        <v>27</v>
      </c>
      <c r="I1" s="62" t="s">
        <v>28</v>
      </c>
      <c r="J1" s="62" t="s">
        <v>29</v>
      </c>
    </row>
    <row r="2" spans="1:10" ht="32.25" customHeight="1">
      <c r="A2" s="141" t="s">
        <v>559</v>
      </c>
      <c r="B2" s="63" t="s">
        <v>560</v>
      </c>
      <c r="C2" s="83">
        <v>2</v>
      </c>
      <c r="D2" s="48">
        <v>524</v>
      </c>
      <c r="E2" s="65"/>
      <c r="F2" s="80" t="s">
        <v>561</v>
      </c>
      <c r="G2" s="50" t="s">
        <v>75</v>
      </c>
      <c r="H2" s="50"/>
      <c r="I2" s="50"/>
      <c r="J2" s="66"/>
    </row>
    <row r="3" spans="1:10" ht="34">
      <c r="A3" s="141"/>
      <c r="B3" s="63" t="s">
        <v>562</v>
      </c>
      <c r="C3" s="69">
        <v>2</v>
      </c>
      <c r="D3" s="28">
        <v>524</v>
      </c>
      <c r="E3" s="68"/>
      <c r="F3" s="81" t="s">
        <v>563</v>
      </c>
      <c r="G3" s="29" t="s">
        <v>75</v>
      </c>
      <c r="H3" s="29"/>
      <c r="I3" s="29"/>
      <c r="J3" s="33"/>
    </row>
    <row r="4" spans="1:10" ht="34">
      <c r="A4" s="141"/>
      <c r="B4" s="63" t="s">
        <v>564</v>
      </c>
      <c r="C4" s="69">
        <v>2</v>
      </c>
      <c r="D4" s="28">
        <v>233</v>
      </c>
      <c r="E4" s="68"/>
      <c r="F4" s="81" t="s">
        <v>565</v>
      </c>
      <c r="G4" s="29" t="s">
        <v>26</v>
      </c>
      <c r="H4" s="29"/>
      <c r="I4" s="29"/>
      <c r="J4" s="33"/>
    </row>
    <row r="5" spans="1:10" ht="34">
      <c r="A5" s="141"/>
      <c r="B5" s="63" t="s">
        <v>566</v>
      </c>
      <c r="C5" s="69">
        <v>2</v>
      </c>
      <c r="D5" s="28">
        <v>770</v>
      </c>
      <c r="E5" s="68"/>
      <c r="F5" s="81" t="s">
        <v>567</v>
      </c>
      <c r="G5" s="29" t="s">
        <v>112</v>
      </c>
      <c r="H5" s="29"/>
      <c r="I5" s="29"/>
      <c r="J5" s="33"/>
    </row>
    <row r="6" spans="1:10" ht="17">
      <c r="A6" s="141"/>
      <c r="B6" s="63" t="s">
        <v>568</v>
      </c>
      <c r="C6" s="70">
        <v>3</v>
      </c>
      <c r="D6" s="28">
        <v>19</v>
      </c>
      <c r="E6" s="68"/>
      <c r="F6" s="81" t="s">
        <v>569</v>
      </c>
      <c r="G6" s="29" t="s">
        <v>75</v>
      </c>
      <c r="H6" s="29"/>
      <c r="I6" s="29"/>
      <c r="J6" s="33"/>
    </row>
    <row r="7" spans="1:10" ht="17">
      <c r="A7" s="141"/>
      <c r="B7" s="63" t="s">
        <v>570</v>
      </c>
      <c r="C7" s="70">
        <v>3</v>
      </c>
      <c r="D7" s="28">
        <v>19</v>
      </c>
      <c r="E7" s="68"/>
      <c r="F7" s="81" t="s">
        <v>571</v>
      </c>
      <c r="G7" s="29" t="s">
        <v>75</v>
      </c>
      <c r="H7" s="29"/>
      <c r="I7" s="29"/>
      <c r="J7" s="33"/>
    </row>
    <row r="8" spans="1:10" ht="32.25" customHeight="1">
      <c r="A8" s="141" t="s">
        <v>572</v>
      </c>
      <c r="B8" s="63" t="s">
        <v>573</v>
      </c>
      <c r="C8" s="67">
        <v>1</v>
      </c>
      <c r="D8" s="28">
        <v>525</v>
      </c>
      <c r="E8" s="68"/>
      <c r="F8" s="81" t="s">
        <v>574</v>
      </c>
      <c r="G8" s="29"/>
      <c r="H8" s="29"/>
      <c r="I8" s="29"/>
      <c r="J8" s="33"/>
    </row>
    <row r="9" spans="1:10" ht="34">
      <c r="A9" s="141"/>
      <c r="B9" s="63" t="s">
        <v>575</v>
      </c>
      <c r="C9" s="67">
        <v>1</v>
      </c>
      <c r="D9" s="28">
        <v>922</v>
      </c>
      <c r="E9" s="68"/>
      <c r="F9" s="81" t="s">
        <v>576</v>
      </c>
      <c r="G9" s="29" t="s">
        <v>75</v>
      </c>
      <c r="H9" s="29"/>
      <c r="I9" s="29"/>
      <c r="J9" s="33"/>
    </row>
    <row r="10" spans="1:10" ht="34">
      <c r="A10" s="141"/>
      <c r="B10" s="63" t="s">
        <v>577</v>
      </c>
      <c r="C10" s="67">
        <v>1</v>
      </c>
      <c r="D10" s="28">
        <v>922</v>
      </c>
      <c r="E10" s="68"/>
      <c r="F10" s="81" t="s">
        <v>578</v>
      </c>
      <c r="G10" s="29" t="s">
        <v>75</v>
      </c>
      <c r="H10" s="29"/>
      <c r="I10" s="29"/>
      <c r="J10" s="33"/>
    </row>
    <row r="11" spans="1:10" ht="32.25" customHeight="1">
      <c r="A11" s="141" t="s">
        <v>579</v>
      </c>
      <c r="B11" s="63" t="s">
        <v>580</v>
      </c>
      <c r="C11" s="67">
        <v>1</v>
      </c>
      <c r="D11" s="28">
        <v>319</v>
      </c>
      <c r="E11" s="68"/>
      <c r="F11" s="81" t="s">
        <v>581</v>
      </c>
      <c r="G11" s="29" t="s">
        <v>75</v>
      </c>
      <c r="H11" s="29"/>
      <c r="I11" s="29"/>
      <c r="J11" s="33"/>
    </row>
    <row r="12" spans="1:10" ht="17">
      <c r="A12" s="141"/>
      <c r="B12" s="63" t="s">
        <v>582</v>
      </c>
      <c r="C12" s="67">
        <v>1</v>
      </c>
      <c r="D12" s="28">
        <v>212</v>
      </c>
      <c r="E12" s="68"/>
      <c r="F12" s="81" t="s">
        <v>583</v>
      </c>
      <c r="G12" s="29" t="s">
        <v>26</v>
      </c>
      <c r="H12" s="125" t="s">
        <v>187</v>
      </c>
      <c r="I12" s="29" t="s">
        <v>584</v>
      </c>
      <c r="J12" s="33"/>
    </row>
    <row r="13" spans="1:10" ht="34">
      <c r="A13" s="141"/>
      <c r="B13" s="63" t="s">
        <v>585</v>
      </c>
      <c r="C13" s="67">
        <v>1</v>
      </c>
      <c r="D13" s="28">
        <v>285</v>
      </c>
      <c r="E13" s="68"/>
      <c r="F13" s="81" t="s">
        <v>586</v>
      </c>
      <c r="G13" s="29" t="s">
        <v>75</v>
      </c>
      <c r="H13" s="29"/>
      <c r="I13" s="29"/>
      <c r="J13" s="33"/>
    </row>
    <row r="14" spans="1:10" ht="51">
      <c r="A14" s="141"/>
      <c r="B14" s="63" t="s">
        <v>587</v>
      </c>
      <c r="C14" s="67">
        <v>1</v>
      </c>
      <c r="D14" s="28">
        <v>200</v>
      </c>
      <c r="E14" s="68"/>
      <c r="F14" s="81" t="s">
        <v>588</v>
      </c>
      <c r="G14" s="29" t="s">
        <v>26</v>
      </c>
      <c r="H14" s="29"/>
      <c r="I14" s="29"/>
      <c r="J14" s="33"/>
    </row>
    <row r="15" spans="1:10" ht="34">
      <c r="A15" s="141"/>
      <c r="B15" s="63" t="s">
        <v>589</v>
      </c>
      <c r="C15" s="69">
        <v>2</v>
      </c>
      <c r="D15" s="28">
        <v>532</v>
      </c>
      <c r="E15" s="68"/>
      <c r="F15" s="81" t="s">
        <v>590</v>
      </c>
      <c r="G15" s="29" t="s">
        <v>26</v>
      </c>
      <c r="H15" s="29"/>
      <c r="I15" s="29"/>
      <c r="J15" s="33"/>
    </row>
    <row r="16" spans="1:10" ht="34">
      <c r="A16" s="141"/>
      <c r="B16" s="63" t="s">
        <v>591</v>
      </c>
      <c r="C16" s="69">
        <v>2</v>
      </c>
      <c r="D16" s="28">
        <v>226</v>
      </c>
      <c r="E16" s="28"/>
      <c r="F16" s="81" t="s">
        <v>592</v>
      </c>
      <c r="G16" s="29" t="s">
        <v>112</v>
      </c>
      <c r="H16" s="29"/>
      <c r="I16" s="29"/>
      <c r="J16" s="33"/>
    </row>
    <row r="17" spans="1:10" ht="51">
      <c r="A17" s="141"/>
      <c r="B17" s="63" t="s">
        <v>593</v>
      </c>
      <c r="C17" s="69">
        <v>2</v>
      </c>
      <c r="D17" s="28">
        <v>327</v>
      </c>
      <c r="E17" s="28"/>
      <c r="F17" s="81" t="s">
        <v>594</v>
      </c>
      <c r="G17" s="29" t="s">
        <v>26</v>
      </c>
      <c r="H17" s="29"/>
      <c r="I17" s="29"/>
      <c r="J17" s="33"/>
    </row>
    <row r="18" spans="1:10" ht="34">
      <c r="A18" s="141"/>
      <c r="B18" s="63" t="s">
        <v>595</v>
      </c>
      <c r="C18" s="79">
        <v>2</v>
      </c>
      <c r="D18" s="35">
        <v>285</v>
      </c>
      <c r="E18" s="35"/>
      <c r="F18" s="82" t="s">
        <v>596</v>
      </c>
      <c r="G18" s="36" t="s">
        <v>112</v>
      </c>
      <c r="H18" s="36"/>
      <c r="I18" s="36"/>
      <c r="J18" s="38"/>
    </row>
  </sheetData>
  <mergeCells count="3">
    <mergeCell ref="A2:A7"/>
    <mergeCell ref="A8:A10"/>
    <mergeCell ref="A11:A18"/>
  </mergeCells>
  <dataValidations count="1">
    <dataValidation type="list" operator="equal" showErrorMessage="1" sqref="G2:G18" xr:uid="{00000000-0002-0000-0800-000000000000}">
      <formula1>"Valid,Non-valid,Not Applicable"</formula1>
      <formula2>0</formula2>
    </dataValidation>
  </dataValidations>
  <hyperlinks>
    <hyperlink ref="H12" r:id="rId1" xr:uid="{089031D8-83FD-404E-AA52-6458CA612D6A}"/>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9"/>
  <sheetViews>
    <sheetView zoomScale="95" zoomScaleNormal="95" workbookViewId="0">
      <selection activeCell="I6" sqref="I6"/>
    </sheetView>
  </sheetViews>
  <sheetFormatPr baseColWidth="10" defaultColWidth="8.6640625" defaultRowHeight="21"/>
  <cols>
    <col min="1" max="1" width="37.33203125" style="73" customWidth="1"/>
    <col min="2" max="2" width="8.6640625" style="26"/>
    <col min="3" max="5" width="8.6640625" style="60"/>
    <col min="6" max="6" width="88.6640625" style="26" customWidth="1"/>
    <col min="7" max="7" width="8.6640625" style="26"/>
    <col min="8" max="8" width="28.33203125" style="26" customWidth="1"/>
    <col min="9" max="9" width="26.33203125" style="26" customWidth="1"/>
    <col min="10" max="10" width="37.6640625" style="26" customWidth="1"/>
    <col min="11" max="1024" width="8.6640625" style="26"/>
  </cols>
  <sheetData>
    <row r="1" spans="1:10" s="44" customFormat="1" ht="44">
      <c r="A1" s="95" t="s">
        <v>20</v>
      </c>
      <c r="B1" s="62" t="s">
        <v>21</v>
      </c>
      <c r="C1" s="61" t="s">
        <v>22</v>
      </c>
      <c r="D1" s="61" t="s">
        <v>23</v>
      </c>
      <c r="E1" s="61" t="s">
        <v>24</v>
      </c>
      <c r="F1" s="62" t="s">
        <v>25</v>
      </c>
      <c r="G1" s="62" t="s">
        <v>26</v>
      </c>
      <c r="H1" s="62" t="s">
        <v>27</v>
      </c>
      <c r="I1" s="62" t="s">
        <v>28</v>
      </c>
      <c r="J1" s="62" t="s">
        <v>29</v>
      </c>
    </row>
    <row r="2" spans="1:10" ht="48" customHeight="1" thickBot="1">
      <c r="A2" s="141" t="s">
        <v>597</v>
      </c>
      <c r="B2" s="63" t="s">
        <v>598</v>
      </c>
      <c r="C2" s="64">
        <v>1</v>
      </c>
      <c r="D2" s="48">
        <v>319</v>
      </c>
      <c r="E2" s="65"/>
      <c r="F2" s="80" t="s">
        <v>599</v>
      </c>
      <c r="G2" s="50" t="s">
        <v>26</v>
      </c>
      <c r="H2" s="131" t="s">
        <v>600</v>
      </c>
      <c r="I2" s="50" t="s">
        <v>601</v>
      </c>
      <c r="J2" s="66"/>
    </row>
    <row r="3" spans="1:10" ht="35" thickBot="1">
      <c r="A3" s="141"/>
      <c r="B3" s="63" t="s">
        <v>602</v>
      </c>
      <c r="C3" s="67">
        <v>1</v>
      </c>
      <c r="D3" s="28">
        <v>326</v>
      </c>
      <c r="E3" s="68"/>
      <c r="F3" s="81" t="s">
        <v>603</v>
      </c>
      <c r="G3" s="29" t="s">
        <v>26</v>
      </c>
      <c r="H3" s="125" t="s">
        <v>600</v>
      </c>
      <c r="I3" s="132" t="s">
        <v>604</v>
      </c>
      <c r="J3" s="33"/>
    </row>
    <row r="4" spans="1:10" ht="35" thickBot="1">
      <c r="A4" s="141"/>
      <c r="B4" s="63" t="s">
        <v>605</v>
      </c>
      <c r="C4" s="67">
        <v>1</v>
      </c>
      <c r="D4" s="28">
        <v>326</v>
      </c>
      <c r="E4" s="68"/>
      <c r="F4" s="81" t="s">
        <v>606</v>
      </c>
      <c r="G4" s="29" t="s">
        <v>26</v>
      </c>
      <c r="H4" s="125" t="s">
        <v>600</v>
      </c>
      <c r="I4" s="29" t="s">
        <v>607</v>
      </c>
      <c r="J4" s="33"/>
    </row>
    <row r="5" spans="1:10" ht="63.75" customHeight="1" thickBot="1">
      <c r="A5" s="141" t="s">
        <v>608</v>
      </c>
      <c r="B5" s="63" t="s">
        <v>609</v>
      </c>
      <c r="C5" s="69">
        <v>2</v>
      </c>
      <c r="D5" s="28">
        <v>295</v>
      </c>
      <c r="E5" s="68"/>
      <c r="F5" s="81" t="s">
        <v>610</v>
      </c>
      <c r="G5" s="29" t="s">
        <v>26</v>
      </c>
      <c r="H5" s="125" t="s">
        <v>600</v>
      </c>
      <c r="I5" s="29" t="s">
        <v>611</v>
      </c>
      <c r="J5" s="33"/>
    </row>
    <row r="6" spans="1:10" ht="69" thickBot="1">
      <c r="A6" s="141"/>
      <c r="B6" s="63" t="s">
        <v>612</v>
      </c>
      <c r="C6" s="69">
        <v>2</v>
      </c>
      <c r="D6" s="28">
        <v>319</v>
      </c>
      <c r="E6" s="68"/>
      <c r="F6" s="81" t="s">
        <v>613</v>
      </c>
      <c r="G6" s="29" t="s">
        <v>26</v>
      </c>
      <c r="H6" s="125" t="s">
        <v>600</v>
      </c>
      <c r="I6" s="29" t="s">
        <v>611</v>
      </c>
      <c r="J6" s="33"/>
    </row>
    <row r="7" spans="1:10" ht="35" thickBot="1">
      <c r="A7" s="141"/>
      <c r="B7" s="63" t="s">
        <v>614</v>
      </c>
      <c r="C7" s="69">
        <v>2</v>
      </c>
      <c r="D7" s="28">
        <v>287</v>
      </c>
      <c r="E7" s="68"/>
      <c r="F7" s="81" t="s">
        <v>615</v>
      </c>
      <c r="G7" s="29" t="s">
        <v>75</v>
      </c>
      <c r="H7" s="29"/>
      <c r="I7" s="29"/>
      <c r="J7" s="33"/>
    </row>
    <row r="8" spans="1:10" ht="35" thickBot="1">
      <c r="A8" s="141"/>
      <c r="B8" s="63" t="s">
        <v>616</v>
      </c>
      <c r="C8" s="69">
        <v>2</v>
      </c>
      <c r="D8" s="28">
        <v>299</v>
      </c>
      <c r="E8" s="68"/>
      <c r="F8" s="81" t="s">
        <v>617</v>
      </c>
      <c r="G8" s="29" t="s">
        <v>75</v>
      </c>
      <c r="H8" s="29"/>
      <c r="I8" s="29"/>
      <c r="J8" s="33"/>
    </row>
    <row r="9" spans="1:10" ht="18" thickBot="1">
      <c r="A9" s="141"/>
      <c r="B9" s="63" t="s">
        <v>618</v>
      </c>
      <c r="C9" s="96">
        <v>3</v>
      </c>
      <c r="D9" s="35">
        <v>544</v>
      </c>
      <c r="E9" s="72"/>
      <c r="F9" s="82" t="s">
        <v>619</v>
      </c>
      <c r="G9" s="36" t="s">
        <v>26</v>
      </c>
      <c r="H9" s="36" t="s">
        <v>600</v>
      </c>
      <c r="I9" s="36" t="s">
        <v>620</v>
      </c>
      <c r="J9" s="38"/>
    </row>
  </sheetData>
  <mergeCells count="2">
    <mergeCell ref="A2:A4"/>
    <mergeCell ref="A5:A9"/>
  </mergeCells>
  <dataValidations count="1">
    <dataValidation type="list" operator="equal" showErrorMessage="1" sqref="G2:G9" xr:uid="{00000000-0002-0000-0900-000000000000}">
      <formula1>"Valid,Non-valid,Not Applicable"</formula1>
      <formula2>0</formula2>
    </dataValidation>
  </dataValidations>
  <hyperlinks>
    <hyperlink ref="H2" r:id="rId1" xr:uid="{31779F7C-83B0-F040-A06C-4ACA257D376A}"/>
    <hyperlink ref="H3" r:id="rId2" xr:uid="{35F08A9E-7229-F543-8723-E1F3CC2A2E73}"/>
    <hyperlink ref="H4" r:id="rId3" xr:uid="{7F022696-1133-B043-A3BC-6CC1B1F0D7A2}"/>
    <hyperlink ref="H5" r:id="rId4" xr:uid="{CBDEE252-BC6F-0646-B6A0-04D79F9461A7}"/>
    <hyperlink ref="H6" r:id="rId5" xr:uid="{C954504E-8CA6-9241-9FCE-972F83F745CF}"/>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1"/>
  <sheetViews>
    <sheetView zoomScale="95" zoomScaleNormal="95" workbookViewId="0">
      <selection activeCell="I13" sqref="I13"/>
    </sheetView>
  </sheetViews>
  <sheetFormatPr baseColWidth="10" defaultColWidth="8.6640625" defaultRowHeight="21"/>
  <cols>
    <col min="1" max="1" width="31.5" style="73" customWidth="1"/>
    <col min="2" max="2" width="8.6640625" style="26"/>
    <col min="3" max="5" width="8.6640625" style="60"/>
    <col min="6" max="6" width="88.5" style="26" customWidth="1"/>
    <col min="7" max="7" width="14.5" style="26" bestFit="1" customWidth="1"/>
    <col min="8" max="8" width="35.6640625" style="26" customWidth="1"/>
    <col min="9" max="9" width="26.1640625" style="26" customWidth="1"/>
    <col min="10" max="10" width="28.6640625" style="26" customWidth="1"/>
    <col min="11" max="1024" width="8.6640625" style="26"/>
  </cols>
  <sheetData>
    <row r="1" spans="1:10" s="44" customFormat="1" ht="44">
      <c r="A1" s="97" t="s">
        <v>20</v>
      </c>
      <c r="B1" s="62" t="s">
        <v>21</v>
      </c>
      <c r="C1" s="61" t="s">
        <v>22</v>
      </c>
      <c r="D1" s="61" t="s">
        <v>23</v>
      </c>
      <c r="E1" s="61" t="s">
        <v>24</v>
      </c>
      <c r="F1" s="62" t="s">
        <v>25</v>
      </c>
      <c r="G1" s="62" t="s">
        <v>26</v>
      </c>
      <c r="H1" s="62" t="s">
        <v>27</v>
      </c>
      <c r="I1" s="62" t="s">
        <v>28</v>
      </c>
      <c r="J1" s="62" t="s">
        <v>29</v>
      </c>
    </row>
    <row r="2" spans="1:10" ht="34">
      <c r="A2" s="2" t="s">
        <v>621</v>
      </c>
      <c r="B2" s="63" t="s">
        <v>622</v>
      </c>
      <c r="C2" s="98">
        <v>3</v>
      </c>
      <c r="D2" s="48">
        <v>749</v>
      </c>
      <c r="E2" s="65"/>
      <c r="F2" s="80" t="s">
        <v>623</v>
      </c>
      <c r="G2" s="50" t="s">
        <v>26</v>
      </c>
      <c r="H2" s="50" t="s">
        <v>624</v>
      </c>
      <c r="I2" s="50" t="s">
        <v>625</v>
      </c>
      <c r="J2" s="66"/>
    </row>
    <row r="3" spans="1:10" ht="48" customHeight="1">
      <c r="A3" s="141" t="s">
        <v>626</v>
      </c>
      <c r="B3" s="63" t="s">
        <v>627</v>
      </c>
      <c r="C3" s="69">
        <v>2</v>
      </c>
      <c r="D3" s="28">
        <v>359</v>
      </c>
      <c r="E3" s="68"/>
      <c r="F3" s="81" t="s">
        <v>628</v>
      </c>
      <c r="G3" s="29" t="s">
        <v>26</v>
      </c>
      <c r="H3" s="125" t="s">
        <v>629</v>
      </c>
      <c r="I3" s="143" t="s">
        <v>630</v>
      </c>
      <c r="J3" s="33"/>
    </row>
    <row r="4" spans="1:10" ht="34">
      <c r="A4" s="141"/>
      <c r="B4" s="63" t="s">
        <v>631</v>
      </c>
      <c r="C4" s="69">
        <v>2</v>
      </c>
      <c r="D4" s="28">
        <v>272</v>
      </c>
      <c r="E4" s="68"/>
      <c r="F4" s="81" t="s">
        <v>632</v>
      </c>
      <c r="G4" s="29" t="s">
        <v>75</v>
      </c>
      <c r="H4" s="29"/>
      <c r="I4" s="29"/>
      <c r="J4" s="33"/>
    </row>
    <row r="5" spans="1:10" ht="68">
      <c r="A5" s="141"/>
      <c r="B5" s="63" t="s">
        <v>633</v>
      </c>
      <c r="C5" s="70">
        <v>3</v>
      </c>
      <c r="D5" s="28">
        <v>507</v>
      </c>
      <c r="E5" s="68"/>
      <c r="F5" s="81" t="s">
        <v>634</v>
      </c>
      <c r="G5" s="29" t="s">
        <v>75</v>
      </c>
      <c r="H5" s="29"/>
      <c r="I5" s="29"/>
      <c r="J5" s="33"/>
    </row>
    <row r="6" spans="1:10" ht="34">
      <c r="A6" s="141"/>
      <c r="B6" s="63" t="s">
        <v>635</v>
      </c>
      <c r="C6" s="70">
        <v>3</v>
      </c>
      <c r="D6" s="28">
        <v>511</v>
      </c>
      <c r="E6" s="68"/>
      <c r="F6" s="81" t="s">
        <v>636</v>
      </c>
      <c r="G6" s="29" t="s">
        <v>75</v>
      </c>
      <c r="H6" s="29"/>
      <c r="I6" s="29"/>
      <c r="J6" s="33"/>
    </row>
    <row r="7" spans="1:10" ht="34">
      <c r="A7" s="141"/>
      <c r="B7" s="63" t="s">
        <v>637</v>
      </c>
      <c r="C7" s="70">
        <v>3</v>
      </c>
      <c r="D7" s="28">
        <v>511</v>
      </c>
      <c r="E7" s="68"/>
      <c r="F7" s="81" t="s">
        <v>638</v>
      </c>
      <c r="G7" s="29" t="s">
        <v>75</v>
      </c>
      <c r="H7" s="29"/>
      <c r="I7" s="29"/>
      <c r="J7" s="33"/>
    </row>
    <row r="8" spans="1:10" ht="34">
      <c r="A8" s="141"/>
      <c r="B8" s="63" t="s">
        <v>639</v>
      </c>
      <c r="C8" s="70">
        <v>3</v>
      </c>
      <c r="D8" s="28">
        <v>507</v>
      </c>
      <c r="E8" s="68"/>
      <c r="F8" s="81" t="s">
        <v>640</v>
      </c>
      <c r="G8" s="29" t="s">
        <v>75</v>
      </c>
      <c r="H8" s="29"/>
      <c r="I8" s="29"/>
      <c r="J8" s="33"/>
    </row>
    <row r="9" spans="1:10" ht="48" customHeight="1" thickBot="1">
      <c r="A9" s="141" t="s">
        <v>641</v>
      </c>
      <c r="B9" s="63" t="s">
        <v>642</v>
      </c>
      <c r="C9" s="67">
        <v>1</v>
      </c>
      <c r="D9" s="28">
        <v>16</v>
      </c>
      <c r="E9" s="68"/>
      <c r="F9" s="81" t="s">
        <v>643</v>
      </c>
      <c r="G9" s="29" t="s">
        <v>75</v>
      </c>
      <c r="H9" s="29"/>
      <c r="I9" s="29"/>
      <c r="J9" s="33"/>
    </row>
    <row r="10" spans="1:10" ht="52" thickBot="1">
      <c r="A10" s="141"/>
      <c r="B10" s="63" t="s">
        <v>644</v>
      </c>
      <c r="C10" s="67">
        <v>1</v>
      </c>
      <c r="D10" s="28">
        <v>353</v>
      </c>
      <c r="E10" s="68"/>
      <c r="F10" s="81" t="s">
        <v>645</v>
      </c>
      <c r="G10" s="29" t="s">
        <v>26</v>
      </c>
      <c r="H10" s="125" t="s">
        <v>52</v>
      </c>
      <c r="I10" s="144" t="s">
        <v>801</v>
      </c>
      <c r="J10" s="33"/>
    </row>
    <row r="11" spans="1:10" ht="86" thickBot="1">
      <c r="A11" s="141"/>
      <c r="B11" s="63" t="s">
        <v>646</v>
      </c>
      <c r="C11" s="71">
        <v>1</v>
      </c>
      <c r="D11" s="35">
        <v>350</v>
      </c>
      <c r="E11" s="35"/>
      <c r="F11" s="82" t="s">
        <v>647</v>
      </c>
      <c r="G11" s="36" t="s">
        <v>26</v>
      </c>
      <c r="H11" s="137" t="s">
        <v>648</v>
      </c>
      <c r="I11" s="145" t="s">
        <v>649</v>
      </c>
      <c r="J11" s="38"/>
    </row>
  </sheetData>
  <mergeCells count="2">
    <mergeCell ref="A3:A8"/>
    <mergeCell ref="A9:A11"/>
  </mergeCells>
  <dataValidations count="1">
    <dataValidation type="list" operator="equal" showErrorMessage="1" sqref="G2:G11" xr:uid="{00000000-0002-0000-0A00-000000000000}">
      <formula1>"Valid,Non-valid,Not Applicable"</formula1>
      <formula2>0</formula2>
    </dataValidation>
  </dataValidations>
  <hyperlinks>
    <hyperlink ref="H3" r:id="rId1" xr:uid="{BDFA2E1B-4EDD-484A-8C04-E843B075996E}"/>
    <hyperlink ref="H11" r:id="rId2" xr:uid="{91D1B765-73A8-4DA3-B6D4-D947A9BDD6BF}"/>
    <hyperlink ref="H10" r:id="rId3" xr:uid="{9761F07E-DA81-6140-80A6-52D66AC34FA6}"/>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9"/>
  <sheetViews>
    <sheetView topLeftCell="A3" zoomScale="95" zoomScaleNormal="95" workbookViewId="0">
      <selection activeCell="H3" sqref="H3"/>
    </sheetView>
  </sheetViews>
  <sheetFormatPr baseColWidth="10" defaultColWidth="8.6640625" defaultRowHeight="21"/>
  <cols>
    <col min="1" max="1" width="23.6640625" style="73" customWidth="1"/>
    <col min="2" max="2" width="8.6640625" style="26"/>
    <col min="3" max="5" width="8.6640625" style="60"/>
    <col min="6" max="6" width="71.33203125" style="26" customWidth="1"/>
    <col min="7" max="7" width="17.5" style="26" customWidth="1"/>
    <col min="8" max="8" width="34.6640625" style="26" customWidth="1"/>
    <col min="9" max="9" width="34.5" style="26" customWidth="1"/>
    <col min="10" max="10" width="37" style="26" customWidth="1"/>
    <col min="11" max="1024" width="8.6640625" style="26"/>
  </cols>
  <sheetData>
    <row r="1" spans="1:10" s="44" customFormat="1" ht="45" thickBot="1">
      <c r="A1" s="95" t="s">
        <v>20</v>
      </c>
      <c r="B1" s="62" t="s">
        <v>21</v>
      </c>
      <c r="C1" s="61" t="s">
        <v>22</v>
      </c>
      <c r="D1" s="61" t="s">
        <v>23</v>
      </c>
      <c r="E1" s="61" t="s">
        <v>24</v>
      </c>
      <c r="F1" s="62" t="s">
        <v>25</v>
      </c>
      <c r="G1" s="62" t="s">
        <v>26</v>
      </c>
      <c r="H1" s="62" t="s">
        <v>27</v>
      </c>
      <c r="I1" s="62" t="s">
        <v>28</v>
      </c>
      <c r="J1" s="62" t="s">
        <v>29</v>
      </c>
    </row>
    <row r="2" spans="1:10" ht="32.25" customHeight="1" thickBot="1">
      <c r="A2" s="141" t="s">
        <v>650</v>
      </c>
      <c r="B2" s="63" t="s">
        <v>651</v>
      </c>
      <c r="C2" s="64">
        <v>1</v>
      </c>
      <c r="D2" s="48">
        <v>841</v>
      </c>
      <c r="E2" s="65"/>
      <c r="F2" s="80" t="s">
        <v>652</v>
      </c>
      <c r="G2" s="50" t="s">
        <v>26</v>
      </c>
      <c r="H2" s="131" t="s">
        <v>89</v>
      </c>
      <c r="I2" s="146" t="s">
        <v>802</v>
      </c>
      <c r="J2" s="66"/>
    </row>
    <row r="3" spans="1:10" ht="142.5" customHeight="1" thickBot="1">
      <c r="A3" s="141"/>
      <c r="B3" s="63" t="s">
        <v>653</v>
      </c>
      <c r="C3" s="67">
        <v>1</v>
      </c>
      <c r="D3" s="28">
        <v>799</v>
      </c>
      <c r="E3" s="68"/>
      <c r="F3" s="81" t="s">
        <v>654</v>
      </c>
      <c r="G3" s="29" t="s">
        <v>26</v>
      </c>
      <c r="H3" s="125" t="s">
        <v>655</v>
      </c>
      <c r="I3" s="140" t="s">
        <v>656</v>
      </c>
      <c r="J3" s="33"/>
    </row>
    <row r="4" spans="1:10" ht="34">
      <c r="A4" s="141"/>
      <c r="B4" s="63" t="s">
        <v>657</v>
      </c>
      <c r="C4" s="67">
        <v>1</v>
      </c>
      <c r="D4" s="28">
        <v>770</v>
      </c>
      <c r="E4" s="68"/>
      <c r="F4" s="81" t="s">
        <v>658</v>
      </c>
      <c r="G4" s="29" t="s">
        <v>26</v>
      </c>
      <c r="H4" s="125" t="s">
        <v>655</v>
      </c>
      <c r="I4" s="29" t="s">
        <v>659</v>
      </c>
      <c r="J4" s="33"/>
    </row>
    <row r="5" spans="1:10" ht="51">
      <c r="A5" s="141"/>
      <c r="B5" s="63" t="s">
        <v>660</v>
      </c>
      <c r="C5" s="67">
        <v>1</v>
      </c>
      <c r="D5" s="28">
        <v>770</v>
      </c>
      <c r="E5" s="28"/>
      <c r="F5" s="81" t="s">
        <v>661</v>
      </c>
      <c r="G5" s="29" t="s">
        <v>26</v>
      </c>
      <c r="H5" s="125" t="s">
        <v>655</v>
      </c>
      <c r="I5" s="29" t="s">
        <v>659</v>
      </c>
      <c r="J5" s="33"/>
    </row>
    <row r="6" spans="1:10" ht="44.25" customHeight="1">
      <c r="A6" s="141"/>
      <c r="B6" s="63" t="s">
        <v>662</v>
      </c>
      <c r="C6" s="67">
        <v>1</v>
      </c>
      <c r="D6" s="28">
        <v>841</v>
      </c>
      <c r="E6" s="28"/>
      <c r="F6" s="81" t="s">
        <v>663</v>
      </c>
      <c r="G6" s="29" t="s">
        <v>26</v>
      </c>
      <c r="H6" s="125" t="s">
        <v>655</v>
      </c>
      <c r="I6" s="29" t="s">
        <v>659</v>
      </c>
      <c r="J6" s="33"/>
    </row>
    <row r="7" spans="1:10" ht="121.5" customHeight="1">
      <c r="A7" s="141"/>
      <c r="B7" s="63" t="s">
        <v>664</v>
      </c>
      <c r="C7" s="69">
        <v>2</v>
      </c>
      <c r="D7" s="28">
        <v>367</v>
      </c>
      <c r="E7" s="28"/>
      <c r="F7" s="81" t="s">
        <v>665</v>
      </c>
      <c r="G7" s="29" t="s">
        <v>26</v>
      </c>
      <c r="H7" s="125" t="s">
        <v>666</v>
      </c>
      <c r="I7" s="139" t="s">
        <v>667</v>
      </c>
      <c r="J7" s="33"/>
    </row>
    <row r="8" spans="1:10" ht="66.75" customHeight="1">
      <c r="A8" s="141"/>
      <c r="B8" s="63" t="s">
        <v>668</v>
      </c>
      <c r="C8" s="69">
        <v>2</v>
      </c>
      <c r="D8" s="28">
        <v>754</v>
      </c>
      <c r="E8" s="28"/>
      <c r="F8" s="81" t="s">
        <v>669</v>
      </c>
      <c r="G8" s="29" t="s">
        <v>75</v>
      </c>
      <c r="H8" s="29"/>
      <c r="I8" s="138"/>
      <c r="J8" s="33"/>
    </row>
    <row r="9" spans="1:10" ht="34">
      <c r="A9" s="141"/>
      <c r="B9" s="63" t="s">
        <v>670</v>
      </c>
      <c r="C9" s="79">
        <v>2</v>
      </c>
      <c r="D9" s="35">
        <v>390</v>
      </c>
      <c r="E9" s="35"/>
      <c r="F9" s="82" t="s">
        <v>671</v>
      </c>
      <c r="G9" s="36" t="s">
        <v>75</v>
      </c>
      <c r="H9" s="36"/>
      <c r="I9"/>
      <c r="J9" s="38"/>
    </row>
  </sheetData>
  <mergeCells count="1">
    <mergeCell ref="A2:A9"/>
  </mergeCells>
  <dataValidations count="1">
    <dataValidation type="list" operator="equal" showErrorMessage="1" sqref="G2:G9" xr:uid="{00000000-0002-0000-0B00-000000000000}">
      <formula1>"Valid,Non-valid,Not Applicable"</formula1>
      <formula2>0</formula2>
    </dataValidation>
  </dataValidations>
  <hyperlinks>
    <hyperlink ref="H7" r:id="rId1" location="L111" xr:uid="{C23DEC74-12A9-4F39-969E-88CD11530251}"/>
    <hyperlink ref="H3" r:id="rId2" location="L63" xr:uid="{0CA5B43F-3F34-4663-B011-177A6D217B58}"/>
    <hyperlink ref="H4" r:id="rId3" location="L63" xr:uid="{21E511A0-1D45-46A1-BB3D-614E95AE35D6}"/>
    <hyperlink ref="H5" r:id="rId4" location="L63" xr:uid="{9B8A3AE2-1639-46ED-B151-9E3EBDD20E1B}"/>
    <hyperlink ref="H6" r:id="rId5" location="L63" xr:uid="{5B96CEE7-9B9D-43CB-8623-E2BE4B7F85A6}"/>
    <hyperlink ref="H2" r:id="rId6" xr:uid="{2ABEF8DE-1C19-4541-8051-AB61443E31D9}"/>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6"/>
  <sheetViews>
    <sheetView zoomScale="95" zoomScaleNormal="95" workbookViewId="0">
      <selection activeCell="I4" sqref="I4"/>
    </sheetView>
  </sheetViews>
  <sheetFormatPr baseColWidth="10" defaultColWidth="8.6640625" defaultRowHeight="21"/>
  <cols>
    <col min="1" max="1" width="33.5" style="73" customWidth="1"/>
    <col min="2" max="2" width="13.33203125" style="26" customWidth="1"/>
    <col min="3" max="5" width="8.6640625" style="60"/>
    <col min="6" max="6" width="78.6640625" style="26" customWidth="1"/>
    <col min="7" max="7" width="18.6640625" style="26" customWidth="1"/>
    <col min="8" max="8" width="31.5" style="26" customWidth="1"/>
    <col min="9" max="9" width="26.6640625" style="26" customWidth="1"/>
    <col min="10" max="10" width="31.6640625" style="26" customWidth="1"/>
    <col min="11" max="1024" width="8.6640625" style="26"/>
  </cols>
  <sheetData>
    <row r="1" spans="1:10" s="44" customFormat="1" ht="44">
      <c r="A1" s="95" t="s">
        <v>20</v>
      </c>
      <c r="B1" s="62" t="s">
        <v>21</v>
      </c>
      <c r="C1" s="61" t="s">
        <v>22</v>
      </c>
      <c r="D1" s="61" t="s">
        <v>23</v>
      </c>
      <c r="E1" s="61" t="s">
        <v>24</v>
      </c>
      <c r="F1" s="62" t="s">
        <v>25</v>
      </c>
      <c r="G1" s="62" t="s">
        <v>26</v>
      </c>
      <c r="H1" s="62" t="s">
        <v>27</v>
      </c>
      <c r="I1" s="62" t="s">
        <v>28</v>
      </c>
      <c r="J1" s="62" t="s">
        <v>29</v>
      </c>
    </row>
    <row r="2" spans="1:10" ht="32.25" customHeight="1">
      <c r="A2" s="141" t="s">
        <v>672</v>
      </c>
      <c r="B2" s="63" t="s">
        <v>673</v>
      </c>
      <c r="C2" s="64">
        <v>1</v>
      </c>
      <c r="D2" s="48">
        <v>400</v>
      </c>
      <c r="E2" s="65"/>
      <c r="F2" s="80" t="s">
        <v>674</v>
      </c>
      <c r="G2" s="50" t="s">
        <v>112</v>
      </c>
      <c r="H2" s="50"/>
      <c r="I2" s="50"/>
      <c r="J2" s="66"/>
    </row>
    <row r="3" spans="1:10" ht="51">
      <c r="A3" s="141"/>
      <c r="B3" s="63" t="s">
        <v>675</v>
      </c>
      <c r="C3" s="69">
        <v>2</v>
      </c>
      <c r="D3" s="28">
        <v>409</v>
      </c>
      <c r="E3" s="68"/>
      <c r="F3" s="81" t="s">
        <v>676</v>
      </c>
      <c r="G3" s="29" t="s">
        <v>112</v>
      </c>
      <c r="H3" s="29"/>
      <c r="I3" s="29"/>
      <c r="J3" s="33"/>
    </row>
    <row r="4" spans="1:10" ht="34">
      <c r="A4" s="141"/>
      <c r="B4" s="63" t="s">
        <v>677</v>
      </c>
      <c r="C4" s="69">
        <v>2</v>
      </c>
      <c r="D4" s="28">
        <v>770</v>
      </c>
      <c r="E4" s="68"/>
      <c r="F4" s="81" t="s">
        <v>678</v>
      </c>
      <c r="G4" s="29" t="s">
        <v>112</v>
      </c>
      <c r="H4" s="29"/>
      <c r="I4" s="29" t="s">
        <v>679</v>
      </c>
      <c r="J4" s="33"/>
    </row>
    <row r="5" spans="1:10" ht="34">
      <c r="A5" s="2" t="s">
        <v>680</v>
      </c>
      <c r="B5" s="63" t="s">
        <v>681</v>
      </c>
      <c r="C5" s="69">
        <v>2</v>
      </c>
      <c r="D5" s="28">
        <v>434</v>
      </c>
      <c r="E5" s="68"/>
      <c r="F5" s="81" t="s">
        <v>682</v>
      </c>
      <c r="G5" s="29" t="s">
        <v>112</v>
      </c>
      <c r="H5" s="29"/>
      <c r="I5" s="29"/>
      <c r="J5" s="33"/>
    </row>
    <row r="6" spans="1:10" ht="48" customHeight="1">
      <c r="A6" s="141" t="s">
        <v>683</v>
      </c>
      <c r="B6" s="63" t="s">
        <v>684</v>
      </c>
      <c r="C6" s="67">
        <v>1</v>
      </c>
      <c r="D6" s="28">
        <v>22</v>
      </c>
      <c r="E6" s="68"/>
      <c r="F6" s="81" t="s">
        <v>685</v>
      </c>
      <c r="G6" s="29" t="s">
        <v>112</v>
      </c>
      <c r="H6" s="29"/>
      <c r="I6" s="29"/>
      <c r="J6" s="33"/>
    </row>
    <row r="7" spans="1:10" ht="34">
      <c r="A7" s="141"/>
      <c r="B7" s="63" t="s">
        <v>686</v>
      </c>
      <c r="C7" s="67">
        <v>1</v>
      </c>
      <c r="D7" s="28">
        <v>73</v>
      </c>
      <c r="E7" s="68"/>
      <c r="F7" s="81" t="s">
        <v>687</v>
      </c>
      <c r="G7" s="29" t="s">
        <v>75</v>
      </c>
      <c r="H7" s="29"/>
      <c r="I7" s="29"/>
      <c r="J7" s="33"/>
    </row>
    <row r="8" spans="1:10" ht="51">
      <c r="A8" s="141"/>
      <c r="B8" s="63" t="s">
        <v>688</v>
      </c>
      <c r="C8" s="67">
        <v>1</v>
      </c>
      <c r="D8" s="28">
        <v>98</v>
      </c>
      <c r="E8" s="68"/>
      <c r="F8" s="81" t="s">
        <v>689</v>
      </c>
      <c r="G8" s="29" t="s">
        <v>75</v>
      </c>
      <c r="H8" s="29"/>
      <c r="I8" s="29"/>
      <c r="J8" s="33"/>
    </row>
    <row r="9" spans="1:10" ht="68">
      <c r="A9" s="141"/>
      <c r="B9" s="63" t="s">
        <v>690</v>
      </c>
      <c r="C9" s="67">
        <v>1</v>
      </c>
      <c r="D9" s="28">
        <v>641</v>
      </c>
      <c r="E9" s="68"/>
      <c r="F9" s="81" t="s">
        <v>691</v>
      </c>
      <c r="G9" s="29" t="s">
        <v>75</v>
      </c>
      <c r="H9" s="29"/>
      <c r="I9" s="29"/>
      <c r="J9" s="33"/>
    </row>
    <row r="10" spans="1:10" ht="34">
      <c r="A10" s="141"/>
      <c r="B10" s="63" t="s">
        <v>692</v>
      </c>
      <c r="C10" s="67">
        <v>1</v>
      </c>
      <c r="D10" s="28">
        <v>78</v>
      </c>
      <c r="E10" s="68"/>
      <c r="F10" s="81" t="s">
        <v>693</v>
      </c>
      <c r="G10" s="29" t="s">
        <v>75</v>
      </c>
      <c r="H10" s="29"/>
      <c r="I10" s="29"/>
      <c r="J10" s="33"/>
    </row>
    <row r="11" spans="1:10" ht="51">
      <c r="A11" s="141"/>
      <c r="B11" s="63" t="s">
        <v>694</v>
      </c>
      <c r="C11" s="69">
        <v>2</v>
      </c>
      <c r="D11" s="28">
        <v>829</v>
      </c>
      <c r="E11" s="28"/>
      <c r="F11" s="81" t="s">
        <v>695</v>
      </c>
      <c r="G11" s="29" t="s">
        <v>75</v>
      </c>
      <c r="H11" s="29"/>
      <c r="I11" s="29"/>
      <c r="J11" s="33"/>
    </row>
    <row r="12" spans="1:10" ht="32.25" customHeight="1">
      <c r="A12" s="141" t="s">
        <v>696</v>
      </c>
      <c r="B12" s="63" t="s">
        <v>697</v>
      </c>
      <c r="C12" s="67">
        <v>1</v>
      </c>
      <c r="D12" s="28">
        <v>922</v>
      </c>
      <c r="E12" s="28"/>
      <c r="F12" s="81" t="s">
        <v>698</v>
      </c>
      <c r="G12" s="29" t="s">
        <v>112</v>
      </c>
      <c r="H12" s="29"/>
      <c r="I12" s="29"/>
      <c r="J12" s="33"/>
    </row>
    <row r="13" spans="1:10" ht="34">
      <c r="A13" s="141"/>
      <c r="B13" s="63" t="s">
        <v>699</v>
      </c>
      <c r="C13" s="67">
        <v>1</v>
      </c>
      <c r="D13" s="28">
        <v>509</v>
      </c>
      <c r="E13" s="28"/>
      <c r="F13" s="81" t="s">
        <v>700</v>
      </c>
      <c r="G13" s="29" t="s">
        <v>112</v>
      </c>
      <c r="H13" s="29"/>
      <c r="I13" s="29"/>
      <c r="J13" s="33"/>
    </row>
    <row r="14" spans="1:10" ht="79.5" customHeight="1">
      <c r="A14" s="141" t="s">
        <v>701</v>
      </c>
      <c r="B14" s="63" t="s">
        <v>702</v>
      </c>
      <c r="C14" s="67">
        <v>1</v>
      </c>
      <c r="D14" s="28">
        <v>552</v>
      </c>
      <c r="E14" s="28"/>
      <c r="F14" s="81" t="s">
        <v>703</v>
      </c>
      <c r="G14" s="29" t="s">
        <v>75</v>
      </c>
      <c r="H14" s="29"/>
      <c r="I14" s="29"/>
      <c r="J14" s="33"/>
    </row>
    <row r="15" spans="1:10" ht="34">
      <c r="A15" s="141"/>
      <c r="B15" s="63" t="s">
        <v>704</v>
      </c>
      <c r="C15" s="67">
        <v>1</v>
      </c>
      <c r="D15" s="28">
        <v>434</v>
      </c>
      <c r="E15" s="28"/>
      <c r="F15" s="81" t="s">
        <v>705</v>
      </c>
      <c r="G15" s="29" t="s">
        <v>75</v>
      </c>
      <c r="H15" s="29"/>
      <c r="I15" s="29"/>
      <c r="J15" s="33"/>
    </row>
    <row r="16" spans="1:10" ht="34">
      <c r="A16" s="2" t="s">
        <v>706</v>
      </c>
      <c r="B16" s="63" t="s">
        <v>707</v>
      </c>
      <c r="C16" s="71">
        <v>1</v>
      </c>
      <c r="D16" s="35">
        <v>918</v>
      </c>
      <c r="E16" s="35"/>
      <c r="F16" s="82" t="s">
        <v>708</v>
      </c>
      <c r="G16" s="36" t="s">
        <v>75</v>
      </c>
      <c r="H16" s="36"/>
      <c r="I16" s="36"/>
      <c r="J16" s="38"/>
    </row>
  </sheetData>
  <mergeCells count="4">
    <mergeCell ref="A2:A4"/>
    <mergeCell ref="A6:A11"/>
    <mergeCell ref="A12:A13"/>
    <mergeCell ref="A14:A15"/>
  </mergeCells>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6"/>
  <sheetViews>
    <sheetView tabSelected="1" zoomScale="95" zoomScaleNormal="95" workbookViewId="0">
      <selection activeCell="F2" sqref="F2"/>
    </sheetView>
  </sheetViews>
  <sheetFormatPr baseColWidth="10" defaultColWidth="8.6640625" defaultRowHeight="21"/>
  <cols>
    <col min="1" max="1" width="24" style="73" customWidth="1"/>
    <col min="2" max="5" width="8.6640625" style="26"/>
    <col min="6" max="6" width="84.5" style="26" customWidth="1"/>
    <col min="7" max="7" width="17.5" style="26" customWidth="1"/>
    <col min="8" max="8" width="35.5" style="26" customWidth="1"/>
    <col min="9" max="9" width="24.1640625" style="26" customWidth="1"/>
    <col min="10" max="10" width="37.6640625" style="26" customWidth="1"/>
    <col min="11" max="1024" width="8.6640625" style="26"/>
  </cols>
  <sheetData>
    <row r="1" spans="1:10" s="44" customFormat="1" ht="44">
      <c r="A1" s="95" t="s">
        <v>20</v>
      </c>
      <c r="B1" s="62" t="s">
        <v>21</v>
      </c>
      <c r="C1" s="61" t="s">
        <v>22</v>
      </c>
      <c r="D1" s="61" t="s">
        <v>23</v>
      </c>
      <c r="E1" s="61" t="s">
        <v>24</v>
      </c>
      <c r="F1" s="62" t="s">
        <v>25</v>
      </c>
      <c r="G1" s="62" t="s">
        <v>26</v>
      </c>
      <c r="H1" s="62" t="s">
        <v>27</v>
      </c>
      <c r="I1" s="62" t="s">
        <v>28</v>
      </c>
      <c r="J1" s="62" t="s">
        <v>29</v>
      </c>
    </row>
    <row r="2" spans="1:10" ht="48" customHeight="1">
      <c r="A2" s="141" t="s">
        <v>709</v>
      </c>
      <c r="B2" s="63" t="s">
        <v>710</v>
      </c>
      <c r="C2" s="64">
        <v>1</v>
      </c>
      <c r="D2" s="48">
        <v>116</v>
      </c>
      <c r="E2" s="65"/>
      <c r="F2" s="80" t="s">
        <v>711</v>
      </c>
      <c r="G2" s="50" t="s">
        <v>112</v>
      </c>
      <c r="H2" s="50"/>
      <c r="I2" s="50"/>
      <c r="J2" s="66"/>
    </row>
    <row r="3" spans="1:10" ht="17">
      <c r="A3" s="141"/>
      <c r="B3" s="63" t="s">
        <v>712</v>
      </c>
      <c r="C3" s="67">
        <v>1</v>
      </c>
      <c r="D3" s="28">
        <v>419</v>
      </c>
      <c r="E3" s="68"/>
      <c r="F3" s="81" t="s">
        <v>713</v>
      </c>
      <c r="G3" s="29" t="s">
        <v>75</v>
      </c>
      <c r="H3" s="29"/>
      <c r="I3" s="29"/>
      <c r="J3" s="33"/>
    </row>
    <row r="4" spans="1:10" ht="35.25" customHeight="1">
      <c r="A4" s="141"/>
      <c r="B4" s="63" t="s">
        <v>714</v>
      </c>
      <c r="C4" s="67">
        <v>1</v>
      </c>
      <c r="D4" s="28">
        <v>598</v>
      </c>
      <c r="E4" s="68"/>
      <c r="F4" s="81" t="s">
        <v>715</v>
      </c>
      <c r="G4" s="29" t="s">
        <v>26</v>
      </c>
      <c r="H4" s="125" t="s">
        <v>413</v>
      </c>
      <c r="I4" s="29" t="s">
        <v>716</v>
      </c>
      <c r="J4" s="33"/>
    </row>
    <row r="5" spans="1:10" ht="51">
      <c r="A5" s="141"/>
      <c r="B5" s="63" t="s">
        <v>717</v>
      </c>
      <c r="C5" s="69">
        <v>2</v>
      </c>
      <c r="D5" s="28">
        <v>285</v>
      </c>
      <c r="E5" s="68"/>
      <c r="F5" s="81" t="s">
        <v>718</v>
      </c>
      <c r="G5" s="29" t="s">
        <v>26</v>
      </c>
      <c r="H5" s="136" t="s">
        <v>52</v>
      </c>
      <c r="I5" s="29" t="s">
        <v>719</v>
      </c>
      <c r="J5" s="33"/>
    </row>
    <row r="6" spans="1:10" ht="51.75" customHeight="1">
      <c r="A6" s="141"/>
      <c r="B6" s="63" t="s">
        <v>720</v>
      </c>
      <c r="C6" s="69">
        <v>2</v>
      </c>
      <c r="D6" s="28">
        <v>434</v>
      </c>
      <c r="E6" s="68"/>
      <c r="F6" s="81" t="s">
        <v>721</v>
      </c>
      <c r="G6" s="29" t="s">
        <v>75</v>
      </c>
      <c r="H6" s="29"/>
      <c r="I6" s="29"/>
      <c r="J6" s="33"/>
    </row>
    <row r="7" spans="1:10" ht="32.25" customHeight="1">
      <c r="A7" s="141" t="s">
        <v>722</v>
      </c>
      <c r="B7" s="63" t="s">
        <v>723</v>
      </c>
      <c r="C7" s="67">
        <v>1</v>
      </c>
      <c r="D7" s="28">
        <v>650</v>
      </c>
      <c r="E7" s="68"/>
      <c r="F7" s="81" t="s">
        <v>724</v>
      </c>
      <c r="G7" s="29" t="s">
        <v>26</v>
      </c>
      <c r="H7" s="136" t="s">
        <v>52</v>
      </c>
      <c r="I7" s="29" t="s">
        <v>719</v>
      </c>
      <c r="J7" s="33"/>
    </row>
    <row r="8" spans="1:10" ht="17">
      <c r="A8" s="141"/>
      <c r="B8" s="63" t="s">
        <v>725</v>
      </c>
      <c r="C8" s="67">
        <v>1</v>
      </c>
      <c r="D8" s="28">
        <v>20</v>
      </c>
      <c r="E8" s="68"/>
      <c r="F8" s="81" t="s">
        <v>726</v>
      </c>
      <c r="G8" s="29" t="s">
        <v>26</v>
      </c>
      <c r="H8" s="136" t="s">
        <v>417</v>
      </c>
      <c r="I8" s="29" t="s">
        <v>727</v>
      </c>
      <c r="J8" s="33"/>
    </row>
    <row r="9" spans="1:10" ht="51">
      <c r="A9" s="141"/>
      <c r="B9" s="63" t="s">
        <v>728</v>
      </c>
      <c r="C9" s="67">
        <v>1</v>
      </c>
      <c r="D9" s="28">
        <v>352</v>
      </c>
      <c r="E9" s="68"/>
      <c r="F9" s="81" t="s">
        <v>729</v>
      </c>
      <c r="G9" s="29" t="s">
        <v>75</v>
      </c>
      <c r="H9" s="29"/>
      <c r="I9" s="29"/>
      <c r="J9" s="33"/>
    </row>
    <row r="10" spans="1:10" ht="17">
      <c r="A10" s="141"/>
      <c r="B10" s="63" t="s">
        <v>730</v>
      </c>
      <c r="C10" s="69">
        <v>2</v>
      </c>
      <c r="D10" s="28">
        <v>770</v>
      </c>
      <c r="E10" s="68"/>
      <c r="F10" s="81" t="s">
        <v>731</v>
      </c>
      <c r="G10" s="29" t="s">
        <v>75</v>
      </c>
      <c r="H10" s="29"/>
      <c r="I10" s="29"/>
      <c r="J10" s="33"/>
    </row>
    <row r="11" spans="1:10" ht="34">
      <c r="A11" s="141"/>
      <c r="B11" s="63" t="s">
        <v>732</v>
      </c>
      <c r="C11" s="69">
        <v>2</v>
      </c>
      <c r="D11" s="28">
        <v>436</v>
      </c>
      <c r="E11" s="68"/>
      <c r="F11" s="81" t="s">
        <v>733</v>
      </c>
      <c r="G11" s="29" t="s">
        <v>112</v>
      </c>
      <c r="H11" s="29"/>
      <c r="I11" s="29"/>
      <c r="J11" s="33"/>
    </row>
    <row r="12" spans="1:10" ht="93.75" customHeight="1">
      <c r="A12" s="141"/>
      <c r="B12" s="63" t="s">
        <v>734</v>
      </c>
      <c r="C12" s="69">
        <v>2</v>
      </c>
      <c r="D12" s="28">
        <v>345</v>
      </c>
      <c r="E12" s="68"/>
      <c r="F12" s="81" t="s">
        <v>735</v>
      </c>
      <c r="G12" s="29" t="s">
        <v>26</v>
      </c>
      <c r="H12" s="125" t="s">
        <v>600</v>
      </c>
      <c r="I12" s="29" t="s">
        <v>611</v>
      </c>
      <c r="J12" s="29"/>
    </row>
    <row r="13" spans="1:10" ht="48" customHeight="1">
      <c r="A13" s="141" t="s">
        <v>736</v>
      </c>
      <c r="B13" s="63" t="s">
        <v>737</v>
      </c>
      <c r="C13" s="67">
        <v>1</v>
      </c>
      <c r="D13" s="28">
        <v>20</v>
      </c>
      <c r="E13" s="68"/>
      <c r="F13" s="81" t="s">
        <v>738</v>
      </c>
      <c r="G13" s="29" t="s">
        <v>75</v>
      </c>
      <c r="H13" s="29"/>
      <c r="I13" s="29"/>
      <c r="J13" s="33"/>
    </row>
    <row r="14" spans="1:10" ht="34">
      <c r="A14" s="141"/>
      <c r="B14" s="63" t="s">
        <v>739</v>
      </c>
      <c r="C14" s="69">
        <v>2</v>
      </c>
      <c r="D14" s="28">
        <v>345</v>
      </c>
      <c r="E14" s="68"/>
      <c r="F14" s="81" t="s">
        <v>740</v>
      </c>
      <c r="G14" s="29" t="s">
        <v>75</v>
      </c>
      <c r="H14" s="29"/>
      <c r="I14" s="29"/>
      <c r="J14" s="33"/>
    </row>
    <row r="15" spans="1:10" ht="63.75" customHeight="1">
      <c r="A15" s="141" t="s">
        <v>741</v>
      </c>
      <c r="B15" s="63" t="s">
        <v>742</v>
      </c>
      <c r="C15" s="69">
        <v>2</v>
      </c>
      <c r="D15" s="28">
        <v>770</v>
      </c>
      <c r="E15" s="68"/>
      <c r="F15" s="81" t="s">
        <v>743</v>
      </c>
      <c r="G15" s="29" t="s">
        <v>75</v>
      </c>
      <c r="H15" s="29"/>
      <c r="I15" s="29"/>
      <c r="J15" s="33"/>
    </row>
    <row r="16" spans="1:10" ht="34">
      <c r="A16" s="141"/>
      <c r="B16" s="63" t="s">
        <v>744</v>
      </c>
      <c r="C16" s="79">
        <v>2</v>
      </c>
      <c r="D16" s="35">
        <v>285</v>
      </c>
      <c r="E16" s="72"/>
      <c r="F16" s="82" t="s">
        <v>745</v>
      </c>
      <c r="G16" s="36" t="s">
        <v>75</v>
      </c>
      <c r="H16" s="36"/>
      <c r="I16" s="36"/>
      <c r="J16" s="38"/>
    </row>
  </sheetData>
  <mergeCells count="4">
    <mergeCell ref="A2:A6"/>
    <mergeCell ref="A7:A12"/>
    <mergeCell ref="A13:A14"/>
    <mergeCell ref="A15:A16"/>
  </mergeCells>
  <dataValidations count="1">
    <dataValidation type="list" operator="equal" showErrorMessage="1" sqref="G2:G16" xr:uid="{00000000-0002-0000-0D00-000000000000}">
      <formula1>"Valid,Non-valid,Not Applicable"</formula1>
      <formula2>0</formula2>
    </dataValidation>
  </dataValidations>
  <hyperlinks>
    <hyperlink ref="H12" r:id="rId1" xr:uid="{B8DE04D9-2E5B-43DD-8216-6C5E26034D8D}"/>
    <hyperlink ref="H4" r:id="rId2" xr:uid="{0F6CE04F-4617-4796-9DB6-18B77433AE34}"/>
    <hyperlink ref="H5" r:id="rId3" xr:uid="{F825BF48-171F-4F29-B479-A8F25DAE012C}"/>
    <hyperlink ref="H7" r:id="rId4" xr:uid="{CFCE09E8-9D9A-417A-94CF-EE56BDCA3496}"/>
    <hyperlink ref="H8" r:id="rId5" xr:uid="{5F804BF8-D99E-4E33-BF26-57C6D8988C0A}"/>
  </hyperlink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26"/>
  <sheetViews>
    <sheetView zoomScale="95" zoomScaleNormal="95" workbookViewId="0">
      <selection activeCell="G9" sqref="G9"/>
    </sheetView>
  </sheetViews>
  <sheetFormatPr baseColWidth="10" defaultColWidth="8.6640625" defaultRowHeight="21"/>
  <cols>
    <col min="1" max="1" width="40.6640625" style="73" customWidth="1"/>
    <col min="2" max="2" width="14.1640625" style="26" customWidth="1"/>
    <col min="3" max="5" width="8.6640625" style="26"/>
    <col min="6" max="6" width="88.6640625" style="26" customWidth="1"/>
    <col min="7" max="7" width="17.1640625" style="26" customWidth="1"/>
    <col min="8" max="8" width="35.33203125" style="26" customWidth="1"/>
    <col min="9" max="9" width="20.5" style="26" customWidth="1"/>
    <col min="10" max="10" width="33.5" style="26" customWidth="1"/>
    <col min="11" max="1024" width="8.6640625" style="26"/>
  </cols>
  <sheetData>
    <row r="1" spans="1:10" s="44" customFormat="1" ht="44">
      <c r="A1" s="99" t="s">
        <v>20</v>
      </c>
      <c r="B1" s="87" t="s">
        <v>21</v>
      </c>
      <c r="C1" s="86" t="s">
        <v>22</v>
      </c>
      <c r="D1" s="86" t="s">
        <v>23</v>
      </c>
      <c r="E1" s="86" t="s">
        <v>24</v>
      </c>
      <c r="F1" s="87" t="s">
        <v>25</v>
      </c>
      <c r="G1" s="87" t="s">
        <v>26</v>
      </c>
      <c r="H1" s="87" t="s">
        <v>27</v>
      </c>
      <c r="I1" s="87" t="s">
        <v>28</v>
      </c>
      <c r="J1" s="87" t="s">
        <v>29</v>
      </c>
    </row>
    <row r="2" spans="1:10" ht="48" customHeight="1">
      <c r="A2" s="142" t="s">
        <v>746</v>
      </c>
      <c r="B2" s="100" t="s">
        <v>747</v>
      </c>
      <c r="C2" s="101">
        <v>2</v>
      </c>
      <c r="D2" s="102"/>
      <c r="E2" s="103"/>
      <c r="F2" s="104" t="s">
        <v>748</v>
      </c>
      <c r="G2" s="105"/>
      <c r="H2" s="105"/>
      <c r="I2" s="105"/>
      <c r="J2" s="106"/>
    </row>
    <row r="3" spans="1:10" ht="51">
      <c r="A3" s="142"/>
      <c r="B3" s="63" t="s">
        <v>749</v>
      </c>
      <c r="C3" s="107">
        <v>2</v>
      </c>
      <c r="D3" s="108">
        <v>120</v>
      </c>
      <c r="E3" s="109"/>
      <c r="F3" s="110" t="s">
        <v>750</v>
      </c>
      <c r="G3" s="111"/>
      <c r="H3" s="111"/>
      <c r="I3" s="111"/>
      <c r="J3" s="112"/>
    </row>
    <row r="4" spans="1:10" ht="34">
      <c r="A4" s="142"/>
      <c r="B4" s="63" t="s">
        <v>751</v>
      </c>
      <c r="C4" s="107">
        <v>2</v>
      </c>
      <c r="D4" s="108">
        <v>16</v>
      </c>
      <c r="E4" s="109"/>
      <c r="F4" s="110" t="s">
        <v>752</v>
      </c>
      <c r="G4" s="111"/>
      <c r="H4" s="111"/>
      <c r="I4" s="111"/>
      <c r="J4" s="112"/>
    </row>
    <row r="5" spans="1:10" ht="51">
      <c r="A5" s="142"/>
      <c r="B5" s="63" t="s">
        <v>753</v>
      </c>
      <c r="C5" s="107">
        <v>2</v>
      </c>
      <c r="D5" s="108"/>
      <c r="E5" s="109"/>
      <c r="F5" s="110" t="s">
        <v>754</v>
      </c>
      <c r="G5" s="111"/>
      <c r="H5" s="111"/>
      <c r="I5" s="111"/>
      <c r="J5" s="112"/>
    </row>
    <row r="6" spans="1:10" ht="34">
      <c r="A6" s="142"/>
      <c r="B6" s="63" t="s">
        <v>755</v>
      </c>
      <c r="C6" s="113">
        <v>3</v>
      </c>
      <c r="D6" s="108"/>
      <c r="E6" s="109"/>
      <c r="F6" s="110" t="s">
        <v>756</v>
      </c>
      <c r="G6" s="111"/>
      <c r="H6" s="111"/>
      <c r="I6" s="111"/>
      <c r="J6" s="112"/>
    </row>
    <row r="7" spans="1:10" ht="48" customHeight="1">
      <c r="A7" s="141" t="s">
        <v>757</v>
      </c>
      <c r="B7" s="63" t="s">
        <v>758</v>
      </c>
      <c r="C7" s="114">
        <v>1</v>
      </c>
      <c r="D7" s="108">
        <v>1026</v>
      </c>
      <c r="E7" s="109"/>
      <c r="F7" s="110" t="s">
        <v>759</v>
      </c>
      <c r="G7" s="111"/>
      <c r="H7" s="111"/>
      <c r="I7" s="111"/>
      <c r="J7" s="112"/>
    </row>
    <row r="8" spans="1:10" ht="34">
      <c r="A8" s="141"/>
      <c r="B8" s="63" t="s">
        <v>760</v>
      </c>
      <c r="C8" s="114">
        <v>1</v>
      </c>
      <c r="D8" s="108">
        <v>1002</v>
      </c>
      <c r="E8" s="109"/>
      <c r="F8" s="110" t="s">
        <v>761</v>
      </c>
      <c r="G8" s="111"/>
      <c r="H8" s="111"/>
      <c r="I8" s="111"/>
      <c r="J8" s="112"/>
    </row>
    <row r="9" spans="1:10" ht="51">
      <c r="A9" s="141"/>
      <c r="B9" s="63" t="s">
        <v>762</v>
      </c>
      <c r="C9" s="114">
        <v>1</v>
      </c>
      <c r="D9" s="108">
        <v>829</v>
      </c>
      <c r="E9" s="109"/>
      <c r="F9" s="110" t="s">
        <v>763</v>
      </c>
      <c r="G9" s="111"/>
      <c r="H9" s="111"/>
      <c r="I9" s="111"/>
      <c r="J9" s="112"/>
    </row>
    <row r="10" spans="1:10" ht="34">
      <c r="A10" s="141"/>
      <c r="B10" s="63" t="s">
        <v>764</v>
      </c>
      <c r="C10" s="107">
        <v>2</v>
      </c>
      <c r="D10" s="108">
        <v>829</v>
      </c>
      <c r="E10" s="109"/>
      <c r="F10" s="110" t="s">
        <v>765</v>
      </c>
      <c r="G10" s="111"/>
      <c r="H10" s="111"/>
      <c r="I10" s="111"/>
      <c r="J10" s="112"/>
    </row>
    <row r="11" spans="1:10" ht="34">
      <c r="A11" s="141"/>
      <c r="B11" s="63" t="s">
        <v>766</v>
      </c>
      <c r="C11" s="107">
        <v>2</v>
      </c>
      <c r="D11" s="108"/>
      <c r="E11" s="109"/>
      <c r="F11" s="110" t="s">
        <v>767</v>
      </c>
      <c r="G11" s="111"/>
      <c r="H11" s="111"/>
      <c r="I11" s="111"/>
      <c r="J11" s="112"/>
    </row>
    <row r="12" spans="1:10" ht="51">
      <c r="A12" s="141"/>
      <c r="B12" s="63" t="s">
        <v>768</v>
      </c>
      <c r="C12" s="107">
        <v>2</v>
      </c>
      <c r="D12" s="108">
        <v>265</v>
      </c>
      <c r="E12" s="109"/>
      <c r="F12" s="110" t="s">
        <v>769</v>
      </c>
      <c r="G12" s="111"/>
      <c r="H12" s="111"/>
      <c r="I12" s="111"/>
      <c r="J12" s="112"/>
    </row>
    <row r="13" spans="1:10" ht="16.5" customHeight="1">
      <c r="A13" s="141" t="s">
        <v>770</v>
      </c>
      <c r="B13" s="63" t="s">
        <v>771</v>
      </c>
      <c r="C13" s="114">
        <v>1</v>
      </c>
      <c r="D13" s="108">
        <v>209</v>
      </c>
      <c r="E13" s="109"/>
      <c r="F13" s="110" t="s">
        <v>772</v>
      </c>
      <c r="G13" s="111" t="s">
        <v>75</v>
      </c>
      <c r="H13" s="111"/>
      <c r="I13" s="111"/>
      <c r="J13" s="112"/>
    </row>
    <row r="14" spans="1:10" ht="34">
      <c r="A14" s="141"/>
      <c r="B14" s="63" t="s">
        <v>773</v>
      </c>
      <c r="C14" s="114">
        <v>1</v>
      </c>
      <c r="D14" s="108">
        <v>497</v>
      </c>
      <c r="E14" s="109"/>
      <c r="F14" s="110" t="s">
        <v>774</v>
      </c>
      <c r="G14" s="111"/>
      <c r="H14" s="111"/>
      <c r="I14" s="111"/>
      <c r="J14" s="112"/>
    </row>
    <row r="15" spans="1:10" ht="34">
      <c r="A15" s="141"/>
      <c r="B15" s="63" t="s">
        <v>775</v>
      </c>
      <c r="C15" s="114">
        <v>1</v>
      </c>
      <c r="D15" s="108">
        <v>200</v>
      </c>
      <c r="E15" s="109"/>
      <c r="F15" s="110" t="s">
        <v>776</v>
      </c>
      <c r="G15" s="111"/>
      <c r="H15" s="111"/>
      <c r="I15" s="111"/>
      <c r="J15" s="112"/>
    </row>
    <row r="16" spans="1:10" ht="48" customHeight="1">
      <c r="A16" s="141" t="s">
        <v>777</v>
      </c>
      <c r="B16" s="63" t="s">
        <v>778</v>
      </c>
      <c r="C16" s="114">
        <v>1</v>
      </c>
      <c r="D16" s="108">
        <v>173</v>
      </c>
      <c r="E16" s="109"/>
      <c r="F16" s="110" t="s">
        <v>779</v>
      </c>
      <c r="G16" s="111"/>
      <c r="H16" s="111"/>
      <c r="I16" s="111"/>
      <c r="J16" s="112"/>
    </row>
    <row r="17" spans="1:10" ht="34">
      <c r="A17" s="141"/>
      <c r="B17" s="63" t="s">
        <v>780</v>
      </c>
      <c r="C17" s="114">
        <v>1</v>
      </c>
      <c r="D17" s="108">
        <v>116</v>
      </c>
      <c r="E17" s="109"/>
      <c r="F17" s="110" t="s">
        <v>781</v>
      </c>
      <c r="G17" s="111"/>
      <c r="H17" s="111"/>
      <c r="I17" s="111"/>
      <c r="J17" s="112"/>
    </row>
    <row r="18" spans="1:10" ht="34">
      <c r="A18" s="141"/>
      <c r="B18" s="63" t="s">
        <v>782</v>
      </c>
      <c r="C18" s="114">
        <v>1</v>
      </c>
      <c r="D18" s="108">
        <v>1021</v>
      </c>
      <c r="E18" s="109"/>
      <c r="F18" s="110" t="s">
        <v>783</v>
      </c>
      <c r="G18" s="111"/>
      <c r="H18" s="111"/>
      <c r="I18" s="111"/>
      <c r="J18" s="112"/>
    </row>
    <row r="19" spans="1:10" ht="17">
      <c r="A19" s="141"/>
      <c r="B19" s="63" t="s">
        <v>784</v>
      </c>
      <c r="C19" s="114">
        <v>1</v>
      </c>
      <c r="D19" s="108">
        <v>116</v>
      </c>
      <c r="E19" s="109"/>
      <c r="F19" s="110" t="s">
        <v>785</v>
      </c>
      <c r="G19" s="111"/>
      <c r="H19" s="111"/>
      <c r="I19" s="111"/>
      <c r="J19" s="112"/>
    </row>
    <row r="20" spans="1:10" ht="34">
      <c r="A20" s="141"/>
      <c r="B20" s="63" t="s">
        <v>786</v>
      </c>
      <c r="C20" s="114">
        <v>1</v>
      </c>
      <c r="D20" s="108">
        <v>523</v>
      </c>
      <c r="E20" s="109"/>
      <c r="F20" s="110" t="s">
        <v>787</v>
      </c>
      <c r="G20" s="111"/>
      <c r="H20" s="111"/>
      <c r="I20" s="111"/>
      <c r="J20" s="112"/>
    </row>
    <row r="21" spans="1:10" ht="34">
      <c r="A21" s="141"/>
      <c r="B21" s="63" t="s">
        <v>788</v>
      </c>
      <c r="C21" s="114">
        <v>1</v>
      </c>
      <c r="D21" s="108">
        <v>116</v>
      </c>
      <c r="E21" s="109"/>
      <c r="F21" s="110" t="s">
        <v>789</v>
      </c>
      <c r="G21" s="111"/>
      <c r="H21" s="111"/>
      <c r="I21" s="111"/>
      <c r="J21" s="112"/>
    </row>
    <row r="22" spans="1:10" ht="51">
      <c r="A22" s="141"/>
      <c r="B22" s="63" t="s">
        <v>790</v>
      </c>
      <c r="C22" s="114">
        <v>1</v>
      </c>
      <c r="D22" s="108">
        <v>1021</v>
      </c>
      <c r="E22" s="109"/>
      <c r="F22" s="110" t="s">
        <v>791</v>
      </c>
      <c r="G22" s="111"/>
      <c r="H22" s="111"/>
      <c r="I22" s="111"/>
      <c r="J22" s="112"/>
    </row>
    <row r="23" spans="1:10" ht="48" customHeight="1">
      <c r="A23" s="141" t="s">
        <v>792</v>
      </c>
      <c r="B23" s="63" t="s">
        <v>793</v>
      </c>
      <c r="C23" s="114">
        <v>1</v>
      </c>
      <c r="D23" s="108">
        <v>749</v>
      </c>
      <c r="E23" s="109"/>
      <c r="F23" s="110" t="s">
        <v>794</v>
      </c>
      <c r="G23" s="111"/>
      <c r="H23" s="111"/>
      <c r="I23" s="111"/>
      <c r="J23" s="112"/>
    </row>
    <row r="24" spans="1:10" ht="34">
      <c r="A24" s="141"/>
      <c r="B24" s="63" t="s">
        <v>795</v>
      </c>
      <c r="C24" s="114">
        <v>1</v>
      </c>
      <c r="D24" s="108">
        <v>346</v>
      </c>
      <c r="E24" s="109"/>
      <c r="F24" s="110" t="s">
        <v>796</v>
      </c>
      <c r="G24" s="111"/>
      <c r="H24" s="111"/>
      <c r="I24" s="111"/>
      <c r="J24" s="112"/>
    </row>
    <row r="25" spans="1:10" ht="34">
      <c r="A25" s="141"/>
      <c r="B25" s="63" t="s">
        <v>797</v>
      </c>
      <c r="C25" s="114">
        <v>1</v>
      </c>
      <c r="D25" s="108">
        <v>346</v>
      </c>
      <c r="E25" s="109"/>
      <c r="F25" s="110" t="s">
        <v>798</v>
      </c>
      <c r="G25" s="111"/>
      <c r="H25" s="111"/>
      <c r="I25" s="111"/>
      <c r="J25" s="112"/>
    </row>
    <row r="26" spans="1:10" ht="34">
      <c r="A26" s="141"/>
      <c r="B26" s="63" t="s">
        <v>799</v>
      </c>
      <c r="C26" s="115">
        <v>2</v>
      </c>
      <c r="D26" s="116">
        <v>306</v>
      </c>
      <c r="E26" s="117"/>
      <c r="F26" s="118" t="s">
        <v>800</v>
      </c>
      <c r="G26" s="119"/>
      <c r="H26" s="119"/>
      <c r="I26" s="119"/>
      <c r="J26" s="120"/>
    </row>
  </sheetData>
  <mergeCells count="5">
    <mergeCell ref="A2:A6"/>
    <mergeCell ref="A7:A12"/>
    <mergeCell ref="A13:A15"/>
    <mergeCell ref="A16:A22"/>
    <mergeCell ref="A23:A26"/>
  </mergeCells>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1532D62E64B542897B015DD7EB8BE1" ma:contentTypeVersion="5" ma:contentTypeDescription="Create a new document." ma:contentTypeScope="" ma:versionID="b7a3569226b74d60e6b652ffc71f4d32">
  <xsd:schema xmlns:xsd="http://www.w3.org/2001/XMLSchema" xmlns:xs="http://www.w3.org/2001/XMLSchema" xmlns:p="http://schemas.microsoft.com/office/2006/metadata/properties" xmlns:ns3="fc394eac-1db9-4ed7-841e-dbad75f37114" targetNamespace="http://schemas.microsoft.com/office/2006/metadata/properties" ma:root="true" ma:fieldsID="703ca15fe0f30b5d272d860e07a56b87" ns3:_="">
    <xsd:import namespace="fc394eac-1db9-4ed7-841e-dbad75f3711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394eac-1db9-4ed7-841e-dbad75f3711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D146C6-1B40-4037-981A-C1EEC2FA8E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394eac-1db9-4ed7-841e-dbad75f371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AF677B-45DB-4EB8-880E-4B82E77B7DE4}">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0A6ED93-0A8E-4261-94B4-DEC66AFC9D4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ASVS Results</vt:lpstr>
      <vt:lpstr>Architecture, Design and Threat</vt:lpstr>
      <vt:lpstr>Authentication</vt:lpstr>
      <vt:lpstr>Session Management</vt:lpstr>
      <vt:lpstr>Access Control</vt:lpstr>
      <vt:lpstr>Validation, Sanitization and En</vt:lpstr>
      <vt:lpstr>Stored Cryptography</vt:lpstr>
      <vt:lpstr>Error Handling and Logging</vt:lpstr>
      <vt:lpstr>Data Protection</vt:lpstr>
      <vt:lpstr>Communication</vt:lpstr>
      <vt:lpstr>Malicious Code</vt:lpstr>
      <vt:lpstr>Business Logic</vt:lpstr>
      <vt:lpstr>Files and Resources</vt:lpstr>
      <vt:lpstr>API and Web Service</vt:lpstr>
      <vt:lpstr>Configuration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
  <cp:keywords>OWASP ASVS Cheatsheet Spreadsheet</cp:keywords>
  <dc:description>Spreadsheet to help performing Code Review with the ASVS method and critieria</dc:description>
  <cp:lastModifiedBy>David Ferreira</cp:lastModifiedBy>
  <cp:revision>47</cp:revision>
  <dcterms:created xsi:type="dcterms:W3CDTF">2014-11-04T11:54:57Z</dcterms:created>
  <dcterms:modified xsi:type="dcterms:W3CDTF">2025-06-09T12:09:14Z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Author">
    <vt:lpwstr>Batard Florent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0x010100701532D62E64B542897B015DD7EB8BE1</vt:lpwstr>
  </property>
</Properties>
</file>