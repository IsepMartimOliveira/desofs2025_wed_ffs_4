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0"/>
  <workbookPr/>
  <mc:AlternateContent xmlns:mc="http://schemas.openxmlformats.org/markup-compatibility/2006">
    <mc:Choice Requires="x15">
      <x15ac:absPath xmlns:x15ac="http://schemas.microsoft.com/office/spreadsheetml/2010/11/ac" url="https://myisepipp-my.sharepoint.com/personal/1191938_isep_ipp_pt/Documents/"/>
    </mc:Choice>
  </mc:AlternateContent>
  <xr:revisionPtr revIDLastSave="0" documentId="8_{7AB99EDA-0FD6-4AE3-9ECF-5C1701685BC9}" xr6:coauthVersionLast="47" xr6:coauthVersionMax="47" xr10:uidLastSave="{00000000-0000-0000-0000-000000000000}"/>
  <bookViews>
    <workbookView xWindow="-23148" yWindow="6804" windowWidth="23256" windowHeight="13176" tabRatio="500" firstSheet="6" activeTab="2" xr2:uid="{00000000-000D-0000-FFFF-FFFF00000000}"/>
  </bookViews>
  <sheets>
    <sheet name="ASVS Results" sheetId="1" r:id="rId1"/>
    <sheet name="Architecture, Design and Threat" sheetId="2" r:id="rId2"/>
    <sheet name="Authentication" sheetId="3" r:id="rId3"/>
    <sheet name="Session Management" sheetId="4" r:id="rId4"/>
    <sheet name="Access Control" sheetId="5" r:id="rId5"/>
    <sheet name="Validation, Sanitization and En" sheetId="6" r:id="rId6"/>
    <sheet name="Stored Cryptography" sheetId="7" r:id="rId7"/>
    <sheet name="Error Handling and Logging" sheetId="8" r:id="rId8"/>
    <sheet name="Data Protection" sheetId="9" r:id="rId9"/>
    <sheet name="Communication" sheetId="10" r:id="rId10"/>
    <sheet name="Malicious Code" sheetId="11" r:id="rId11"/>
    <sheet name="Business Logic" sheetId="12" r:id="rId12"/>
    <sheet name="Files and Resources" sheetId="13" r:id="rId13"/>
    <sheet name="API and Web Service" sheetId="14" r:id="rId14"/>
    <sheet name="Configuration" sheetId="15" r:id="rId1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5" i="1" l="1"/>
  <c r="B15" i="1"/>
  <c r="C14" i="1"/>
  <c r="B14" i="1"/>
  <c r="C13" i="1"/>
  <c r="B13" i="1"/>
  <c r="D13" i="1" s="1"/>
  <c r="C12" i="1"/>
  <c r="B12" i="1"/>
  <c r="D12" i="1" s="1"/>
  <c r="C11" i="1"/>
  <c r="B11" i="1"/>
  <c r="D11" i="1" s="1"/>
  <c r="C10" i="1"/>
  <c r="B10" i="1"/>
  <c r="D10" i="1" s="1"/>
  <c r="C9" i="1"/>
  <c r="B9" i="1"/>
  <c r="D9" i="1" s="1"/>
  <c r="C8" i="1"/>
  <c r="B8" i="1"/>
  <c r="C7" i="1"/>
  <c r="B7" i="1"/>
  <c r="C6" i="1"/>
  <c r="B6" i="1"/>
  <c r="C5" i="1"/>
  <c r="B5" i="1"/>
  <c r="D5" i="1" s="1"/>
  <c r="C4" i="1"/>
  <c r="B4" i="1"/>
  <c r="D4" i="1" s="1"/>
  <c r="C3" i="1"/>
  <c r="B3" i="1"/>
  <c r="C2" i="1"/>
  <c r="B2" i="1"/>
  <c r="D7" i="1" l="1"/>
  <c r="D14" i="1"/>
  <c r="D15" i="1"/>
  <c r="D8" i="1"/>
  <c r="D6" i="1"/>
  <c r="D2" i="1"/>
  <c r="D3" i="1"/>
  <c r="B16" i="1"/>
  <c r="C16" i="1"/>
  <c r="D16" i="1" l="1"/>
</calcChain>
</file>

<file path=xl/sharedStrings.xml><?xml version="1.0" encoding="utf-8"?>
<sst xmlns="http://schemas.openxmlformats.org/spreadsheetml/2006/main" count="1454" uniqueCount="872">
  <si>
    <t>Security Category</t>
  </si>
  <si>
    <t>Valid criteria</t>
  </si>
  <si>
    <t>Total criteria</t>
  </si>
  <si>
    <t>Validity Percentage</t>
  </si>
  <si>
    <t>ASVS Level Acquired</t>
  </si>
  <si>
    <t>Architecture, Design and Threat Modeling</t>
  </si>
  <si>
    <t>Authentication</t>
  </si>
  <si>
    <t>Session Management</t>
  </si>
  <si>
    <t>Access Control</t>
  </si>
  <si>
    <t>Validation, Sanitization and Encoding</t>
  </si>
  <si>
    <t>Stored Cryptography</t>
  </si>
  <si>
    <t>Error Handling and Logging</t>
  </si>
  <si>
    <t>Data Protection</t>
  </si>
  <si>
    <t>Communication</t>
  </si>
  <si>
    <t>Malicious Code</t>
  </si>
  <si>
    <t>Business Logic</t>
  </si>
  <si>
    <t>Files and Resources</t>
  </si>
  <si>
    <t>API and Web Service</t>
  </si>
  <si>
    <t>Configuration</t>
  </si>
  <si>
    <t>Total</t>
  </si>
  <si>
    <t>Area</t>
  </si>
  <si>
    <t>#</t>
  </si>
  <si>
    <t>ASVS Level</t>
  </si>
  <si>
    <t>CWE</t>
  </si>
  <si>
    <t>NIST</t>
  </si>
  <si>
    <t>Verification Requirement</t>
  </si>
  <si>
    <t>Valid</t>
  </si>
  <si>
    <t>Source Code Reference</t>
  </si>
  <si>
    <t>Comment</t>
  </si>
  <si>
    <t>Tool Used</t>
  </si>
  <si>
    <t xml:space="preserve">Secure Software Development Lifecycle </t>
  </si>
  <si>
    <t>1.1.1</t>
  </si>
  <si>
    <t>Verify the use of a secure software development lifecycle that addresses security in all stages of development. ([C1](https://owasp.org/www-project-proactive-controls/#div-numbering))</t>
  </si>
  <si>
    <t>https://github.com/IsepMartimOliveira/desofs2025_wed_ffs_4/blob/main/src/main/java/com/example/psoft_22_23_project/devicemanagement/model/MacAddress.java</t>
  </si>
  <si>
    <t>The architecture is designed with security in mind: the database is hosted on the same machine as the API to limit external access and reduce the attack surface. The system uses JWT (JSON Web Tokens) for authentication, and implements strong input validation measures, such as enforcing a strict regex pattern for MAC address validation. Additionally, the chosen architecture is flexible and supports future maintenance and security enhancements, making it easier to implement new validation mechanisms and strengthen overall system protection over time.</t>
  </si>
  <si>
    <t>1.1.2</t>
  </si>
  <si>
    <t>Verify the use of threat modeling for every design change or sprint planning to identify threats, plan for countermeasures, facilitate appropriate risk responses, and guide security testing.</t>
  </si>
  <si>
    <t>https://github.com/IsepMartimOliveira/desofs2025_wed_ffs_4/blob/docs/phase1/Deliverables/Phase1/ssdlc/ThreatModeling.md
https://github.com/IsepMartimOliveira/desofs2025_wed_ffs_4/blob/docs/phase1/Deliverables/Phase1/ssdlc/Abuse_Case.md</t>
  </si>
  <si>
    <t>Threat Modeling and Abuse Cases documents</t>
  </si>
  <si>
    <t>1.1.3</t>
  </si>
  <si>
    <t>Verify that all user stories and features contain functional security constraints, such as "As a user, I should be able to view and edit my profile. I should not be able to view or edit anyone else's profile"</t>
  </si>
  <si>
    <t>https://github.com/IsepMartimOliveira/desofs2025_wed_ffs_4/blob/docs/phase1/Deliverables/Phase1/docs/ArchithectureAnalysis.md</t>
  </si>
  <si>
    <t>Security Requirements section</t>
  </si>
  <si>
    <t>1.1.4</t>
  </si>
  <si>
    <t>Verify documentation and justification of all the application's trust boundaries, components, and significant data flows.</t>
  </si>
  <si>
    <t>https://github.com/IsepMartimOliveira/desofs2025_wed_ffs_4/blob/docs/phase1/Deliverables/Phase1/ssdlc/ThreatModeling.md</t>
  </si>
  <si>
    <t>Threat Modeling</t>
  </si>
  <si>
    <t>1.1.5</t>
  </si>
  <si>
    <t>Verify definition and security analysis of the application's high-level architecture and all connected remote services. ([C1](https://owasp.org/www-project-proactive-controls/#div-numbering))</t>
  </si>
  <si>
    <t>Deployment View</t>
  </si>
  <si>
    <t>1.1.6</t>
  </si>
  <si>
    <t>Verify implementation of centralized, simple (economy of design), vetted, secure, and reusable security controls to avoid duplicate, missing, ineffective, or insecure controls. ([C10](https://owasp.org/www-project-proactive-controls/#div-numbering))</t>
  </si>
  <si>
    <t>https://github.com/IsepMartimOliveira/desofs2025_wed_ffs_4/blob/main/src/main/java/com/example/psoft_22_23_project/configuration/SecurityConfig.java</t>
  </si>
  <si>
    <t>Between lines 93–229 centralizes authentication, authorization, session management, password encoding, and CORS settings</t>
  </si>
  <si>
    <t>1.1.7</t>
  </si>
  <si>
    <t>Verify availability of a secure coding checklist, security requirements, guideline, or policy to all developers and testers.</t>
  </si>
  <si>
    <t>https://github.com/IsepMartimOliveira/desofs2025_wed_ffs_4/tree/docs/phase1/Deliverables/Phase1/v4-ASVS-checklist-en.xlsx
https://github.com/IsepMartimOliveira/desofs2025_wed_ffs_4/blob/docs/phase1/Deliverables/Phase1/docs/ArchithectureAnalysis.md</t>
  </si>
  <si>
    <t>ASVS Checklist and Archithecture Analysis</t>
  </si>
  <si>
    <t>Authentication Architecture</t>
  </si>
  <si>
    <t>1.2.1</t>
  </si>
  <si>
    <t>Verify the use of unique or special low-privilege operating system accounts for all application components, services, and servers. ([C3](https://owasp.org/www-project-proactive-controls/#div-numbering))</t>
  </si>
  <si>
    <t>Between lines 121 and 166</t>
  </si>
  <si>
    <t>1.2.2</t>
  </si>
  <si>
    <t>Verify that communications between application components, including APIs, middleware and data layers, are authenticated. Components should have the least necessary privileges needed. ([C3](https://owasp.org/www-project-proactive-controls/#div-numbering))</t>
  </si>
  <si>
    <t>https://github.com/IsepMartimOliveira/desofs2025_wed_ffs_4/blob/docs/phase1/src/main/java/com/example/psoft_22_23_project/configuration/SecurityConfig.java</t>
  </si>
  <si>
    <t>Method in line 98</t>
  </si>
  <si>
    <t>1.2.3</t>
  </si>
  <si>
    <t>Verify that the application uses a single vetted authentication mechanism that is known to be secure, can be extended to include strong authentication, and has sufficient logging and monitoring to detect account abuse or breaches.</t>
  </si>
  <si>
    <t xml:space="preserve">Methods between line 98 and line 180 </t>
  </si>
  <si>
    <t>1.2.4</t>
  </si>
  <si>
    <t>Verify that all authentication pathways and identity management APIs implement consistent authentication security control strength, such that there are no weaker alternatives per the risk of the application.</t>
  </si>
  <si>
    <t>https://github.com/IsepMartimOliveira/desofs2025_wed_ffs_4/blob/docs/phase1/src/main/java/com/example/psoft_22_23_project/api/AuthApi.java</t>
  </si>
  <si>
    <t>login method, uses JWT Token with expirancy date</t>
  </si>
  <si>
    <t>Session Management Architecture</t>
  </si>
  <si>
    <t>This is a placeholder for future architectural requirements.</t>
  </si>
  <si>
    <t>Not Applicable</t>
  </si>
  <si>
    <t xml:space="preserve">Access Control Architecture </t>
  </si>
  <si>
    <t>1.4.1</t>
  </si>
  <si>
    <t>Verify that trusted enforcement points such as at access control gateways, servers, and serverless functions enforce access controls. Never enforce access controls on the client.</t>
  </si>
  <si>
    <t>Methods between line 172 to 195</t>
  </si>
  <si>
    <t>1.4.2</t>
  </si>
  <si>
    <t xml:space="preserve">[DELETED, NOT ACTIONABLE] </t>
  </si>
  <si>
    <t>1.4.3</t>
  </si>
  <si>
    <t xml:space="preserve">[DELETED, DUPLICATE OF 4.1.3] </t>
  </si>
  <si>
    <t>1.4.4</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</si>
  <si>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</si>
  <si>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Only point of acess is login endpoint, 
it authenthicates the jwt token</t>
  </si>
  <si>
    <t>1.4.5</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</si>
  <si>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</si>
  <si>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https://github.com/IsepMartimOliveira/desofs2025_wed_ffs_4/blob/main/src/main/java/com/example/psoft_22_23_project/subscriptionsmanagement/services/SubscriptionsServiceImpl.java</t>
  </si>
  <si>
    <t>Method ChangePlan</t>
  </si>
  <si>
    <t xml:space="preserve">Input and Output Architecture </t>
  </si>
  <si>
    <t>1.5.1</t>
  </si>
  <si>
    <t>Verify that input and output requirements clearly define how to handle and process data based on type, content, and applicable laws, regulations, and other policy compliance.</t>
  </si>
  <si>
    <t>https://github.com/IsepMartimOliveira/desofs2025_wed_ffs_4/blob/docs/phase1/src/main/java/com/example/psoft_22_23_project/devicemanagement/model/MacAddress.java</t>
  </si>
  <si>
    <t xml:space="preserve">Between line 16 to 18 </t>
  </si>
  <si>
    <t>1.5.2</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</si>
  <si>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</si>
  <si>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1.5.3</t>
  </si>
  <si>
    <t>Verify that input validation is enforced on a trusted service layer. ([C5](https://owasp.org/www-project-proactive-controls/#div-numbering))</t>
  </si>
  <si>
    <t>https://github.com/IsepMartimOliveira/desofs2025_wed_ffs_4/blob/docs/phase1/src/main/java/com/example/psoft_22_23_project/devicemanagement/services/DeviceServiceImpl.java</t>
  </si>
  <si>
    <t xml:space="preserve">In all the methods </t>
  </si>
  <si>
    <t>1.5.4</t>
  </si>
  <si>
    <t>Verify that output encoding occurs close to or by the interpreter for which it is intended. ([C4](https://www.owasp.org/index.php/OWASP_Proactive_Controls#tab=Formal_Numbering))</t>
  </si>
  <si>
    <t>Cryptographic Architecture</t>
  </si>
  <si>
    <t>1.6.1</t>
  </si>
  <si>
    <t>Verify that there is an explicit policy for management of cryptographic keys and that a cryptographic key lifecycle follows a key management standard such as NIST SP 800-57.</t>
  </si>
  <si>
    <t>Between line 79 to 88</t>
  </si>
  <si>
    <t>1.6.2</t>
  </si>
  <si>
    <t>Verify that consumers of cryptographic services protect key material and other secrets by using key vaults or API based alternatives.</t>
  </si>
  <si>
    <t>1.6.3</t>
  </si>
  <si>
    <t>Verify that all keys and passwords are replaceable and are part of a well-defined process to re-encrypt sensitive data.</t>
  </si>
  <si>
    <t>Non-valid</t>
  </si>
  <si>
    <t>1.6.4</t>
  </si>
  <si>
    <t>Verify that the architecture treats client-side secrets--such as symmetric keys, passwords, or API tokens--as insecure and never uses them to protect or access sensitive data.</t>
  </si>
  <si>
    <t>Error, Logging and Auditing Architecture</t>
  </si>
  <si>
    <t>1.7.1</t>
  </si>
  <si>
    <t>Verify that a common logging format and approach is used across the system. ([C9](https://owasp.org/www-project-proactive-controls/#div-numbering))</t>
  </si>
  <si>
    <t>1.7.2</t>
  </si>
  <si>
    <t>Verify that logs are securely transmitted to a preferably remote system for analysis, detection, alerting, and escalation. ([C9](https://owasp.org/www-project-proactive-controls/#div-numbering))</t>
  </si>
  <si>
    <t>Data Protection and Privacy Architecture</t>
  </si>
  <si>
    <t>1.8.1</t>
  </si>
  <si>
    <t>Verify that all sensitive data is identified and classified into protection levels.</t>
  </si>
  <si>
    <t>1.8.2</t>
  </si>
  <si>
    <t>Verify that all protection levels have an associated set of protection requirements, such as encryption requirements, integrity requirements, retention, privacy and other confidentiality requirements, and that these are applied in the architecture.</t>
  </si>
  <si>
    <t>Communications Architecture</t>
  </si>
  <si>
    <t>1.9.1</t>
  </si>
  <si>
    <t>Verify the application encrypts communications between components, particularly when these components are in different containers, systems, sites, or cloud providers. ([C3](https://owasp.org/www-project-proactive-controls/#div-numbering))</t>
  </si>
  <si>
    <t>App uses HTTP conections. To implement</t>
  </si>
  <si>
    <t>1.9.2</t>
  </si>
  <si>
    <t>Verify that application components verify the authenticity of each side in a communication link to prevent person-in-the-middle attacks. For example, application components should validate TLS certificates and chains.</t>
  </si>
  <si>
    <t>App uses HTTP conections</t>
  </si>
  <si>
    <t>Malicious Software Architecture</t>
  </si>
  <si>
    <t>1.10.1</t>
  </si>
  <si>
    <t>Verify that a source code control system is in use, with procedures to ensure that check-ins are accompanied by issues or change tickets. The source code control system should have access control and identifiable users to allow traceability of any changes.</t>
  </si>
  <si>
    <t>https://github.com/IsepMartimOliveira/desofs2025_wed_ffs_4</t>
  </si>
  <si>
    <t>Git and Github are used</t>
  </si>
  <si>
    <t>Business Logic Architecture</t>
  </si>
  <si>
    <t>1.11.1</t>
  </si>
  <si>
    <t>Verify the definition and documentation of all application components in terms of the business or security functions they provide.</t>
  </si>
  <si>
    <t>https://github.com/IsepMartimOliveira/desofs2025_wed_ffs_4/tree/main/docs</t>
  </si>
  <si>
    <t>All application components and functionalities are defined and documented</t>
  </si>
  <si>
    <t>1.11.2</t>
  </si>
  <si>
    <t>Verify that all high-value business logic flows, including authentication, session management and access control, do not share unsynchronized state.</t>
  </si>
  <si>
    <t>The application operates in a stateless manner, relying on self-contained JWT tokens and a relational database (PostgreSQL) for state management. Authentication, session management, and access control flows do not share unsynchronized state.</t>
  </si>
  <si>
    <t>1.11.3</t>
  </si>
  <si>
    <t>Verify that all high-value business logic flows, including authentication, session management and access control are thread safe and resistant to time-of-check and time-of-use race conditions.</t>
  </si>
  <si>
    <t>The application uses Spring Security, which is inherently thread-safe for managing authentication, session management, and access control. Also uses JWT tokens.</t>
  </si>
  <si>
    <t>Secure File Upload Architecture</t>
  </si>
  <si>
    <t>1.12.1</t>
  </si>
  <si>
    <t>[DELETED, DUPLICATE OF 12.4.1]</t>
  </si>
  <si>
    <t>1.12.2</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</si>
  <si>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</si>
  <si>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https://github.com/IsepMartimOliveira/desofs2025_wed_ffs_4/blob/main/src/main/java/com/example/psoft_22_23_project/filestoragemanagement/service/FileStorageService.java</t>
  </si>
  <si>
    <t>Line 131 -&gt;156 in Device controller and line 175-&gt;176 on SecurityConfig (not yet commited)</t>
  </si>
  <si>
    <t>API Architecture</t>
  </si>
  <si>
    <t>Configuration Architecture</t>
  </si>
  <si>
    <t>1.14.1</t>
  </si>
  <si>
    <t>Verify the segregation of components of differing trust levels through well-defined security controls, firewall rules, API gateways, reverse proxies, cloud-based security groups, or similar mechanisms.</t>
  </si>
  <si>
    <t>Only uses RBAC and has permissive CORS policy</t>
  </si>
  <si>
    <t>1.14.2</t>
  </si>
  <si>
    <t>Verify that binary signatures, trusted connections, and verified endpoints are used to deploy binaries to remote devices.</t>
  </si>
  <si>
    <t>1.14.3</t>
  </si>
  <si>
    <t>Verify that the build pipeline warns of out-of-date or insecure components and takes appropriate actions.</t>
  </si>
  <si>
    <t>https://github.com/IsepMartimOliveira/desofs2025_wed_ffs_4/blob/main/.github/workflows/security_scan.yaml</t>
  </si>
  <si>
    <t>1.14.4</t>
  </si>
  <si>
    <t>Verify that the build pipeline contains a build step to automatically build and verify the secure deployment of the application, particularly if the application infrastructure is software defined, such as cloud environment build scripts.</t>
  </si>
  <si>
    <t>1.14.5</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</si>
  <si>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</si>
  <si>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1.14.6</t>
  </si>
  <si>
    <t>Verify the application does not use unsupported, insecure, or deprecated client-side technologies such as NSAPI plugins, Flash, Shockwave, ActiveX, Silverlight, NACL, or client-side Java applets.</t>
  </si>
  <si>
    <t xml:space="preserve">Password Security </t>
  </si>
  <si>
    <t>2.1.1</t>
  </si>
  <si>
    <t>5.1.1.2</t>
  </si>
  <si>
    <t>Verify that user set passwords are at least 12 characters in length (after multiple spaces are combined). ([C6](https://owasp.org/www-project-proactive-controls/#div-numbering))</t>
  </si>
  <si>
    <t>https://github.com/IsepMartimOliveira/desofs2025_wed_ffs_4/blob/main/src/main/java/com/example/psoft_22_23_project/usermanagement/api/CreateUserRequest.java</t>
  </si>
  <si>
    <t xml:space="preserve">Between line 21 to 24 </t>
  </si>
  <si>
    <t>2.1.2</t>
  </si>
  <si>
    <t>Verify that passwords of at least 64 characters are permitted, and that passwords of more than 128 characters are denied. ([C6](https://owasp.org/www-project-proactive-controls/#div-numbering))</t>
  </si>
  <si>
    <t>2.1.3</t>
  </si>
  <si>
    <t>Verify that password truncation is not performed. However, consecutive multiple spaces may be replaced by a single space. ([C6](https://owasp.org/www-project-proactive-controls/#div-numbering))</t>
  </si>
  <si>
    <t>Definition of the size of password with minimum and maximum lenght</t>
  </si>
  <si>
    <t>2.1.4</t>
  </si>
  <si>
    <t>Verify that any printable Unicode character, including language neutral characters such as spaces and Emojis are permitted in passwords.</t>
  </si>
  <si>
    <t>We only use @size(min=12,max=24) annotation so we can use any password in this range</t>
  </si>
  <si>
    <t>2.1.5</t>
  </si>
  <si>
    <t>Verify users can change their password.</t>
  </si>
  <si>
    <t>https://github.com/IsepMartimOliveira/desofs2025_wed_ffs_4/blob/Authentication/src/main/java/com/example/psoft_22_23_project/usermanagement/api/UserController.java</t>
  </si>
  <si>
    <t>Method ChangePassword</t>
  </si>
  <si>
    <t>2.1.6</t>
  </si>
  <si>
    <t>Verify that password change functionality requires the user's current and new password.</t>
  </si>
  <si>
    <t>https://github.com/IsepMartimOliveira/desofs2025_wed_ffs_4/blob/Authentication/src/main/java/com/example/psoft_22_23_project/usermanagement/services/UserService.java</t>
  </si>
  <si>
    <t>2.1.7</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</si>
  <si>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</si>
  <si>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2.1.8</t>
  </si>
  <si>
    <t>Verify that a password strength meter is provided to help users set a stronger password.</t>
  </si>
  <si>
    <t>2.1.9</t>
  </si>
  <si>
    <t>Verify that there are no password composition rules limiting the type of characters permitted. There should be no requirement for upper or lower case or numbers or special characters. ([C6](https://owasp.org/www-project-proactive-controls/#div-numbering))</t>
  </si>
  <si>
    <t>https://github.com/IsepMartimOliveira/desofs2025_wed_ffs_4/blob/Authentication/src/main/java/com/example/psoft_22_23_project/usermanagement/api/CreateUserRequest.java</t>
  </si>
  <si>
    <t xml:space="preserve">We didn´t have patterns implemented </t>
  </si>
  <si>
    <t>2.1.10</t>
  </si>
  <si>
    <t>Verify that there are no periodic credential rotation or password history requirements.</t>
  </si>
  <si>
    <t>2.1.11</t>
  </si>
  <si>
    <t>Verify that "paste" functionality, browser password helpers, and external password managers are permitted.</t>
  </si>
  <si>
    <t>2.1.12</t>
  </si>
  <si>
    <t>Verify that the user can choose to either temporarily view the entire masked password, or temporarily view the last typed character of the password on platforms that do not have this as built-in functionality.</t>
  </si>
  <si>
    <t>General Authenticator Security</t>
  </si>
  <si>
    <t>2.2.1</t>
  </si>
  <si>
    <t>5.2.2, 5.1.1.2, 5.1.4.2, 5.1.5.2</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</si>
  <si>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</si>
  <si>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https://github.com/IsepMartimOliveira/desofs2025_wed_ffs_4/blob/main/src/main/java/com/example/psoft_22_23_project/api/AuthApi.java</t>
  </si>
  <si>
    <t>Use ip to see if it exceds the number of times defined and if it yes it blocks the user.</t>
  </si>
  <si>
    <t>2.2.2</t>
  </si>
  <si>
    <t>5.2.10</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</si>
  <si>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</si>
  <si>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2.2.3</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</si>
  <si>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</si>
  <si>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2.2.4</t>
  </si>
  <si>
    <t>5.2.5</t>
  </si>
  <si>
    <t>Verify impersonation resistance against phishing, such as the use of multi-factor authentication, cryptographic devices with intent (such as connected keys with a push to authenticate), or at higher AAL levels, client-side certificates.</t>
  </si>
  <si>
    <t>2.2.5</t>
  </si>
  <si>
    <t>5.2.6</t>
  </si>
  <si>
    <t>Verify that where a Credential Service Provider (CSP) and the application verifying authentication are separated, mutually authenticated TLS is in place between the two endpoints.</t>
  </si>
  <si>
    <t>2.2.6</t>
  </si>
  <si>
    <t>5.2.8</t>
  </si>
  <si>
    <t>Verify replay resistance through the mandated use of One-time Passwords (OTP) devices, cryptographic authenticators, or lookup codes.</t>
  </si>
  <si>
    <t>2.2.7</t>
  </si>
  <si>
    <t>5.2.9</t>
  </si>
  <si>
    <t>Verify intent to authenticate by requiring the entry of an OTP token or user-initiated action such as a button press on a FIDO hardware key.</t>
  </si>
  <si>
    <t>Authenticator Lifecycle</t>
  </si>
  <si>
    <t>2.3.1</t>
  </si>
  <si>
    <t>5.1.1.2, A. 3</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</si>
  <si>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</si>
  <si>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2.3.2</t>
  </si>
  <si>
    <t>6.1.3</t>
  </si>
  <si>
    <t>Verify that enrollment and use of user-provided authentication devices are supported, such as a U2F or FIDO tokens.</t>
  </si>
  <si>
    <t>2.3.3</t>
  </si>
  <si>
    <t>6.1.4</t>
  </si>
  <si>
    <t>Verify that renewal instructions are sent with sufficient time to renew time bound authenticators.</t>
  </si>
  <si>
    <t>Credentials Storage</t>
  </si>
  <si>
    <t>2.4.1</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</si>
  <si>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</si>
  <si>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https://github.com/IsepMartimOliveira/desofs2025_wed_ffs_4/blob/main/src/main/java/com/example/psoft_22_23_project/usermanagement/services/UserService.java</t>
  </si>
  <si>
    <t>line 126</t>
  </si>
  <si>
    <t>2.4.2</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</si>
  <si>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</si>
  <si>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line 233. BCryptPasswordEncoder already generates a 128 bit salt</t>
  </si>
  <si>
    <t>2.4.3</t>
  </si>
  <si>
    <t>Verify that if PBKDF2 is used, the iteration count SHOULD be as large as verification server performance will allow, typically at least 100,000 iterations. ([C6](https://owasp.org/www-project-proactive-controls/#div-numbering))</t>
  </si>
  <si>
    <t>2.4.4</t>
  </si>
  <si>
    <t>Verify that if bcrypt is used, the work factor SHOULD be as large as verification server performance will allow, with a minimum of 10. ([C6](https://owasp.org/www-project-proactive-controls/#div-numbering))</t>
  </si>
  <si>
    <t>line 233. BCryptPasswordEncoder by default as a work facto of 10</t>
  </si>
  <si>
    <t>2.4.5</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</si>
  <si>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</si>
  <si>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 xml:space="preserve">Credential Recovery </t>
  </si>
  <si>
    <t>2.5.1</t>
  </si>
  <si>
    <t>Verify that a system generated initial activation or recovery secret is not sent in clear text to the user. ([C6](https://owasp.org/www-project-proactive-controls/#div-numbering))</t>
  </si>
  <si>
    <t>2.5.2</t>
  </si>
  <si>
    <t>Verify password hints or knowledge-based authentication (so-called "secret questions") are not present.</t>
  </si>
  <si>
    <t>2.5.3</t>
  </si>
  <si>
    <t>Verify password credential recovery does not reveal the current password in any way. ([C6](https://owasp.org/www-project-proactive-controls/#div-numbering))</t>
  </si>
  <si>
    <t>It asks for the previous passoword but doenst show it</t>
  </si>
  <si>
    <t>2.5.4</t>
  </si>
  <si>
    <t>Verify shared or default accounts are not present (e.g. "root", "admin", or "sa").</t>
  </si>
  <si>
    <t>Changed the bootstrap so it no longer creates a admin account</t>
  </si>
  <si>
    <t>2.5.5</t>
  </si>
  <si>
    <t>6.1.2.3</t>
  </si>
  <si>
    <t>Verify that if an authentication factor is changed or replaced, that the user is notified of this event.</t>
  </si>
  <si>
    <t>https://github.com/IsepMartimOliveira/desofs2025_wed_ffs_4/blob/main/src/main/java/com/example/psoft_22_23_project/usermanagement/api/UserController.java</t>
  </si>
  <si>
    <t>User is notified when password is changed.Line 133-138</t>
  </si>
  <si>
    <t>2.5.6</t>
  </si>
  <si>
    <t>Verify forgotten password, and other recovery paths use a secure recovery mechanism, such as time-based OTP (TOTP) or other soft token, mobile push, or another offline recovery mechanism. ([C6](https://owasp.org/www-project-proactive-controls/#div-numbering))</t>
  </si>
  <si>
    <t>2.5.7</t>
  </si>
  <si>
    <t>Verify that if OTP or multi-factor authentication factors are lost, that evidence of identity proofing is performed at the same level as during enrollment.</t>
  </si>
  <si>
    <t xml:space="preserve">Look-up Secret Verifier </t>
  </si>
  <si>
    <t>2.6.1</t>
  </si>
  <si>
    <t>5.1.2.2</t>
  </si>
  <si>
    <t>Verify that lookup secrets can be used only once.</t>
  </si>
  <si>
    <t>2.6.2</t>
  </si>
  <si>
    <t>Verify that lookup secrets have sufficient randomness (112 bits of entropy), or if less than 112 bits of entropy, salted with a unique and random 32-bit salt and hashed with an approved one-way hash.</t>
  </si>
  <si>
    <t>2.6.3</t>
  </si>
  <si>
    <t>Verify that lookup secrets are resistant to offline attacks, such as predictable values.</t>
  </si>
  <si>
    <t>Out of Band Verifier</t>
  </si>
  <si>
    <t>2.7.1</t>
  </si>
  <si>
    <t>5.1.3.2</t>
  </si>
  <si>
    <t>Verify that clear text out of band (NIST "restricted") authenticators, such as SMS or PSTN, are not offered by default, and stronger alternatives such as push notifications are offered first.</t>
  </si>
  <si>
    <t>2.7.2</t>
  </si>
  <si>
    <t>Verify that the out of band verifier expires out of band authentication requests, codes, or tokens after 10 minutes.</t>
  </si>
  <si>
    <t>2.7.3</t>
  </si>
  <si>
    <t>Verify that the out of band verifier authentication requests, codes, or tokens are only usable once, and only for the original authentication request.</t>
  </si>
  <si>
    <t>2.7.4</t>
  </si>
  <si>
    <t>Verify that the out of band authenticator and verifier communicates over a secure independent channel.</t>
  </si>
  <si>
    <t>2.7.5</t>
  </si>
  <si>
    <t>Verify that the out of band verifier retains only a hashed version of the authentication code.</t>
  </si>
  <si>
    <t>2.7.6</t>
  </si>
  <si>
    <t>Verify that the initial authentication code is generated by a secure random number generator, containing at least 20 bits of entropy (typically a six digital random number is sufficient).</t>
  </si>
  <si>
    <t>One Time Verifier</t>
  </si>
  <si>
    <t>2.8.1</t>
  </si>
  <si>
    <t>5.1.4.2, 5.1.5.2</t>
  </si>
  <si>
    <t>Verify that time-based OTPs have a defined lifetime before expiring.</t>
  </si>
  <si>
    <t>2.8.2</t>
  </si>
  <si>
    <t>Verify that symmetric keys used to verify submitted OTPs are highly protected, such as by using a hardware security module or secure operating system based key storage.</t>
  </si>
  <si>
    <t>2.8.3</t>
  </si>
  <si>
    <t>Verify that approved cryptographic algorithms are used in the generation, seeding, and verification of OTPs.</t>
  </si>
  <si>
    <t>2.8.4</t>
  </si>
  <si>
    <t>Verify that time-based OTP can be used only once within the validity period.</t>
  </si>
  <si>
    <t>2.8.5</t>
  </si>
  <si>
    <t>5.1.5.2</t>
  </si>
  <si>
    <t>Verify that if a time-based multi-factor OTP token is re-used during the validity period, it is logged and rejected with secure notifications being sent to the holder of the device.</t>
  </si>
  <si>
    <t>2.8.6</t>
  </si>
  <si>
    <t>5.2.1</t>
  </si>
  <si>
    <t>Verify physical single-factor OTP generator can be revoked in case of theft or other loss. Ensure that revocation is immediately effective across logged in sessions, regardless of location.</t>
  </si>
  <si>
    <t>2.8.7</t>
  </si>
  <si>
    <t>5.2.3</t>
  </si>
  <si>
    <t>Verify that biometric authenticators are limited to use only as secondary factors in conjunction with either something you have and something you know.</t>
  </si>
  <si>
    <t>Cryptographic Verifier</t>
  </si>
  <si>
    <t>2.9.1</t>
  </si>
  <si>
    <t>5.1.7.2</t>
  </si>
  <si>
    <t>Verify that cryptographic keys used in verification are stored securely and protected against disclosure, such as using a Trusted Platform Module (TPM) or Hardware Security Module (HSM), or an OS service that can use this secure storage.</t>
  </si>
  <si>
    <t>2.9.2</t>
  </si>
  <si>
    <t>Verify that the challenge nonce is at least 64 bits in length, and statistically unique or unique over the lifetime of the cryptographic device.</t>
  </si>
  <si>
    <t>2.9.3</t>
  </si>
  <si>
    <t>Verify that approved cryptographic algorithms are used in the generation, seeding, and verification.</t>
  </si>
  <si>
    <t xml:space="preserve">Service Authentication </t>
  </si>
  <si>
    <t>2.10.1</t>
  </si>
  <si>
    <t>LVL2: OS assisted, LVL3: HSM</t>
  </si>
  <si>
    <t>5.1.1.1</t>
  </si>
  <si>
    <t>Verify that intra-service secrets do not rely on unchanging credentials such as passwords, API keys or shared accounts with privileged access.</t>
  </si>
  <si>
    <t>2.10.2</t>
  </si>
  <si>
    <t>Verify that if passwords are required for service authentication, the service account used is not a default credential. (e.g. root/root or admin/admin are default in some services during installation).</t>
  </si>
  <si>
    <t>No default password are used like admin,root etc..</t>
  </si>
  <si>
    <t>2.10.3</t>
  </si>
  <si>
    <t>Verify that passwords are stored with sufficient protection to prevent offline recovery attacks, including local system access.</t>
  </si>
  <si>
    <t>2.10.4</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</si>
  <si>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</si>
  <si>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Fundamental Session Management Security</t>
  </si>
  <si>
    <t>3.1.1</t>
  </si>
  <si>
    <t>Verify the application never reveals session tokens in URL parameters or error messages.</t>
  </si>
  <si>
    <t>It is used generic message witout much information</t>
  </si>
  <si>
    <t>Session Binding</t>
  </si>
  <si>
    <t>3.2.1</t>
  </si>
  <si>
    <t>Verify the application generates a new session token on user authentication. ([C6](https://www.owasp.org/index.php/OWASP_Proactive_Controls#tab=Formal_Numbering))</t>
  </si>
  <si>
    <t>https://github.com/IsepMartimOliveira/desofs2025_wed_ffs_4/blob/main/src/main/java/com/example/psoft_22_23_project/configuration/JwtService.java</t>
  </si>
  <si>
    <t>The application generates a new JWT (JSON Web Token) upon each user authentication. This token has a maximum validity of 10 minutes</t>
  </si>
  <si>
    <t>3.2.2</t>
  </si>
  <si>
    <t>Verify that session tokens possess at least 64 bits of entropy. ([C6](https://www.owasp.org/index.php/OWASP_Proactive_Controls#tab=Formal_Numbering))</t>
  </si>
  <si>
    <t>The system uses RSA-signed JWTs with cryptographically secure keys, ensuring each token exceeds the 64-bit entropy requirement. Line 206-210</t>
  </si>
  <si>
    <t>3.2.3</t>
  </si>
  <si>
    <t>Verify the application only stores session tokens in the browser using secure methods such as appropriately secured cookies (see section 3.4) or HTML 5 session storage.</t>
  </si>
  <si>
    <t>No front-end</t>
  </si>
  <si>
    <t>3.2.4</t>
  </si>
  <si>
    <t>Verify that session tokens are generated using approved cryptographic algorithms. ([C6](https://www.owasp.org/index.php/OWASP_Proactive_Controls#tab=Formal_Numbering))</t>
  </si>
  <si>
    <t>The application generates JWT tokens using the RSA algorithm via the Nimbus JOSE+JWT library, which is an OWASP-approved cryptographic standard for secure token generation. Line 209</t>
  </si>
  <si>
    <t>Session Termination</t>
  </si>
  <si>
    <t>3.3.1</t>
  </si>
  <si>
    <t>Verify that logout and expiration invalidate the session token, such that the back button or a downstream relying party does not resume an authenticated session, including across relying parties. ([C6](https://owasp.org/www-project-proactive-controls/#div-numbering))</t>
  </si>
  <si>
    <t>No logout</t>
  </si>
  <si>
    <t>3.3.2</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</si>
  <si>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</si>
  <si>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Expires after 10 minutos.Line 43</t>
  </si>
  <si>
    <t>3.3.3</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</si>
  <si>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</si>
  <si>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3.3.4</t>
  </si>
  <si>
    <t>Verify that users are able to view and (having re-entered login credentials) log out of any or all currently active sessions and devices.</t>
  </si>
  <si>
    <t>Cookie-based Session Management</t>
  </si>
  <si>
    <t>3.4.1</t>
  </si>
  <si>
    <t>7.1.1</t>
  </si>
  <si>
    <t>Verify that cookie-based session tokens have the 'Secure' attribute set. ([C6](https://owasp.org/www-project-proactive-controls/#div-numbering))</t>
  </si>
  <si>
    <t>No Front-end</t>
  </si>
  <si>
    <t>3.4.2</t>
  </si>
  <si>
    <t>Verify that cookie-based session tokens have the 'HttpOnly' attribute set. ([C6](https://owasp.org/www-project-proactive-controls/#div-numbering))</t>
  </si>
  <si>
    <t>3.4.3</t>
  </si>
  <si>
    <t>Verify that cookie-based session tokens utilize the 'SameSite' attribute to limit exposure to cross-site request forgery attacks. ([C6](https://owasp.org/www-project-proactive-controls/#div-numbering))</t>
  </si>
  <si>
    <t>3.4.4</t>
  </si>
  <si>
    <t>Verify that cookie-based session tokens use the "__Host-" prefix so cookies are only sent to the host that initially set the cookie.</t>
  </si>
  <si>
    <t>3.4.5</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</si>
  <si>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</si>
  <si>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Token-based Session Management</t>
  </si>
  <si>
    <t>3.5.1</t>
  </si>
  <si>
    <t>7.1.2</t>
  </si>
  <si>
    <t>Verify the application allows users to revoke OAuth tokens that form trust relationships with linked applications.</t>
  </si>
  <si>
    <t xml:space="preserve">Our application does not currently use OAuth or support third-party integrations. All authentication is handled internally using JWT tokens. </t>
  </si>
  <si>
    <t>3.5.2</t>
  </si>
  <si>
    <t>Verify the application uses session tokens rather than static API secrets and keys, except with legacy implementations.</t>
  </si>
  <si>
    <t xml:space="preserve">We use JWT tokens instead of static API keys because they are more secure, support short lifespans, and don't require storing secrets on the server. </t>
  </si>
  <si>
    <t>3.5.3</t>
  </si>
  <si>
    <t>Verify that stateless session tokens use digital signatures, encryption, and other countermeasures to protect against tampering, enveloping, replay, null cipher, and key substitution attacks.</t>
  </si>
  <si>
    <t xml:space="preserve">The JWT tokens are digitally signed with RSA keys, preventing tampering and ensuring token integrity. This meets the requirement for protecting stateless session tokens against common attacks.
</t>
  </si>
  <si>
    <t>Federated Re-authentication</t>
  </si>
  <si>
    <t>3.6.1</t>
  </si>
  <si>
    <t>7.2.1</t>
  </si>
  <si>
    <t>Verify that  Relying Parties (RPs) specify the maximum authentication time to Credential Service Providers (CSPs) and that CSPs re-authenticate the subscriber if they haven't used a session within that period.</t>
  </si>
  <si>
    <t>3.6.2</t>
  </si>
  <si>
    <t>Verify that Credential Service Providers (CSPs) inform Relying Parties (RPs) of the last authentication event, to allow RPs to determine if they need to re-authenticate the user.</t>
  </si>
  <si>
    <t>Defenses Against Session Management Exploits</t>
  </si>
  <si>
    <t>3.7.1</t>
  </si>
  <si>
    <t>Verify the application ensures a valid login session or requires re-authentication or secondary verification before allowing any sensitive transactions or account modifications.</t>
  </si>
  <si>
    <t>This code makes sure only a logged-in user can do sensitive actions by always getting the user from the current login session (getCurrentAuthenticatedUser() method, around line 263)</t>
  </si>
  <si>
    <t>General Access Control Design</t>
  </si>
  <si>
    <t>4.1.1</t>
  </si>
  <si>
    <t>Verify that the application enforces access control rules on a trusted service layer, especially if client-side access control is present and could be bypassed.</t>
  </si>
  <si>
    <t xml:space="preserve">	Uses Role-Based Access Control (RBAC) with Spring Security annotations and filters at the server level. Access decisions are enforced using a trusted service layer based on JWT-authenticated roles.</t>
  </si>
  <si>
    <t>4.1.2</t>
  </si>
  <si>
    <t>Verify that all user and data attributes and policy information used by access controls cannot be manipulated by end users unless specifically authorized.</t>
  </si>
  <si>
    <t>JWT tokens are validated and parsed server-side using JwtDecoder and JwtAuthenticationConverter. Claims such as roles are extracted securely and used to enforce access policies.</t>
  </si>
  <si>
    <t>4.1.3</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</si>
  <si>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</si>
  <si>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Access to API endpoints is restricted using hasRole(...) and permitAll() for minimal exposure. Roles are enforced with JWT claims, ensuring users only access what they're authorized to.</t>
  </si>
  <si>
    <t>4.1.4</t>
  </si>
  <si>
    <t>4.1.5</t>
  </si>
  <si>
    <t>Verify that access controls fail securely including when an exception occurs. ([C10](https://owasp.org/www-project-proactive-controls/#div-numbering))</t>
  </si>
  <si>
    <t xml:space="preserve"> a user is unauthenticated, a 401 Unauthorized is returned. If a user is authenticated but lacks permission, a 403 Forbidden is returned. Configured using Spring Security's BearerTokenAuthenticationEntryPoint and BearerTokenAccessDeniedHandler.</t>
  </si>
  <si>
    <t>Operation Level Access Control</t>
  </si>
  <si>
    <t>4.2.1</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</si>
  <si>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</si>
  <si>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4.2.2</t>
  </si>
  <si>
    <t>Verify that the application or framework enforces a strong anti-CSRF mechanism to protect authenticated functionality, and effective anti-automation or anti-CSRF protects unauthenticated functionality.</t>
  </si>
  <si>
    <t>Comunicates with the backend via HTTP APIs using JWT in the Authorization header</t>
  </si>
  <si>
    <t>Other Access Control Considerations</t>
  </si>
  <si>
    <t>4.3.1</t>
  </si>
  <si>
    <t>Verify administrative interfaces use appropriate multi-factor authentication to prevent unauthorized use.</t>
  </si>
  <si>
    <t>No multi-factor authentication (MFA) is implemented or required for administrative interfaces at this time.</t>
  </si>
  <si>
    <t>4.3.2</t>
  </si>
  <si>
    <t>Verify that directory browsing is disabled unless deliberately desired. Additionally, applications should not allow discovery or disclosure of file or directory metadata, such as Thumbs.db, .DS_Store, .git or .svn folders.</t>
  </si>
  <si>
    <t xml:space="preserve">	The Spring Boot embedded server disables directory browsing by default. No static file exposure or folder listings are enabled.</t>
  </si>
  <si>
    <t>4.3.3</t>
  </si>
  <si>
    <t>Verify the application has additional authorization (such as step up or adaptive authentication) for lower value systems, and / or segregation of duties for high value applications to enforce anti-fraud controls as per the risk of application and past fraud.</t>
  </si>
  <si>
    <t>he application does not require step-up authentication or additional anti-fraud controls at this time, as it's not classified as a high-value or high-risk application</t>
  </si>
  <si>
    <t xml:space="preserve">Input Validation </t>
  </si>
  <si>
    <t>5.1.1</t>
  </si>
  <si>
    <t>Verify that the application has defenses against HTTP parameter pollution attacks, particularly if the application framework makes no distinction about the source of request parameters (GET, POST, cookies, headers, or environment variables).</t>
  </si>
  <si>
    <t>5.1.2</t>
  </si>
  <si>
    <t>Verify that frameworks protect against mass parameter assignment attacks, or that the application has countermeasures to protect against unsafe parameter assignment, such as marking fields private or similar. ([C5](https://owasp.org/www-project-proactive-controls/#div-numbering))</t>
  </si>
  <si>
    <t>Uses DTO(All), use initiateBinder(Subs),IgnoringUnkow fields(Subs)</t>
  </si>
  <si>
    <t>5.1.3</t>
  </si>
  <si>
    <t>Verify that all input (HTML form fields, REST requests, URL parameters, HTTP headers, cookies, batch files, RSS feeds, etc) is validated using positive validation (allow lists). ([C5](https://owasp.org/www-project-proactive-controls/#div-numbering))</t>
  </si>
  <si>
    <t>https://github.com/IsepMartimOliveira/desofs2025_wed_ffs_4/blob/main/src/main/java/com/example/psoft_22_23_project/plansmanagement/api/PlansController.java</t>
  </si>
  <si>
    <t>Validates input  using Bean Validation Annotations like:@RequestBody,@Valid. Validating using @Regex, @Min, @Max on DTO.</t>
  </si>
  <si>
    <t>5.1.4</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</si>
  <si>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</si>
  <si>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https://github.com/IsepMartimOliveira/desofs2025_wed_ffs_4/blob/main/src/main/java/com/example/psoft_22_23_project/plansmanagement/api/CreatePlanRequest.java</t>
  </si>
  <si>
    <t xml:space="preserve">DTO Validation,Header validation(if-match),@InitBinder usage	</t>
  </si>
  <si>
    <t>5.1.5</t>
  </si>
  <si>
    <t>Verify that URL redirects and forwards only allow destinations which appear on an allow list, or show a warning when redirecting to potentially untrusted content.</t>
  </si>
  <si>
    <t xml:space="preserve">Sanitization and Sandboxing </t>
  </si>
  <si>
    <t>Verify that all untrusted HTML input from WYSIWYG editors or similar is properly sanitized with an HTML sanitizer library or framework feature. ([C5](https://owasp.org/www-project-proactive-controls/#div-numbering))</t>
  </si>
  <si>
    <t>5.2.2</t>
  </si>
  <si>
    <t>Verify that unstructured data is sanitized to enforce safety measures such as allowed characters and length.</t>
  </si>
  <si>
    <t>https://github.com/IsepMartimOliveira/desofs2025_wed_ffs_4/blob/main/src/main/java/com/example/psoft_22_23_project/usermanagement/model/User.java</t>
  </si>
  <si>
    <t xml:space="preserve">Validate using Bean Validation </t>
  </si>
  <si>
    <t>Verify that the application sanitizes user input before passing to mail systems to protect against SMTP or IMAP injection.</t>
  </si>
  <si>
    <t>5.2.4</t>
  </si>
  <si>
    <t>Verify that the application avoids the use of eval() or other dynamic code execution features. Where there is no alternative, any user input being included must be sanitized or sandboxed before being executed.</t>
  </si>
  <si>
    <t>https://github.com/IsepMartimOliveira/desofs2025_wed_ffs_4/blob/main/src/main/java/com/example/psoft_22_23_project/filestoragemanagement/sanitize/SanitizeImage.java</t>
  </si>
  <si>
    <t>Application blocks all command injection patterns (|, &amp;, ;, $) and search confirms zero eval/Runtime/ScriptEngine usage - SanitizeImage.java</t>
  </si>
  <si>
    <t>Verify that the application protects against template injection attacks by ensuring that any user input being included is sanitized or sandboxed.</t>
  </si>
  <si>
    <t>Uses RBAC,JWT tokens</t>
  </si>
  <si>
    <t>Verify that the application protects against SSRF attacks, by validating or sanitizing untrusted data or HTTP file metadata, such as filenames and URL input fields, and uses allow lists of protocols, domains, paths and ports.</t>
  </si>
  <si>
    <t>Check if uploaded file doesn´t point to  remote  url</t>
  </si>
  <si>
    <t>5.2.7</t>
  </si>
  <si>
    <t>Verify that the application sanitizes, disables, or sandboxes user-supplied Scalable Vector Graphics (SVG) scriptable content, especially as they relate to XSS resulting from inline scripts, and foreignObject.</t>
  </si>
  <si>
    <t>Only alllows jpg,jpeg,png,gif,webp format</t>
  </si>
  <si>
    <t>Verify that the application sanitizes, disables, or sandboxes user-supplied scriptable or expression template language content, such as Markdown, CSS or XSL stylesheets, BBCode, or similar.</t>
  </si>
  <si>
    <t xml:space="preserve">Output encoding and Injection Prevention </t>
  </si>
  <si>
    <t>5.3.1</t>
  </si>
  <si>
    <r>
      <rPr>
        <sz val="12"/>
        <color rgb="FF102A43"/>
        <rFont val="Calibri"/>
        <family val="2"/>
      </rPr>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t>
    </r>
    <r>
      <rPr>
        <sz val="12"/>
        <color rgb="FF102A43"/>
        <rFont val="Noto Sans CJK SC"/>
      </rPr>
      <t xml:space="preserve">ねこ </t>
    </r>
    <r>
      <rPr>
        <sz val="12"/>
        <color rgb="FF102A43"/>
        <rFont val="Calibri"/>
        <family val="2"/>
      </rPr>
      <t>or O'Hara). ([C4](https://owasp.org/www-project-proactive-controls/#div-numbering))</t>
    </r>
  </si>
  <si>
    <t>5.3.2</t>
  </si>
  <si>
    <t>Verify that output encoding preserves the user's chosen character set and locale, such that any Unicode character point is valid and safely handled. ([C4](https://owasp.org/www-project-proactive-controls/#div-numbering))</t>
  </si>
  <si>
    <t>This class validates file uploads while preserving Unicode character sets and locale.It filters only security-dangerous characters (path traversal, control chars) without altering the original UTF-8 encoding, ensuring user's chosen character set and locale remain intact throughout validation.</t>
  </si>
  <si>
    <t>5.3.3</t>
  </si>
  <si>
    <t>Verify that context-aware, preferably automated - or at worst, manual - output escaping protects against reflected, stored, and DOM based XSS. ([C4](https://owasp.org/www-project-proactive-controls/#div-numbering))</t>
  </si>
  <si>
    <t>5.3.4</t>
  </si>
  <si>
    <t>Verify that data selection or database queries (e.g. SQL, HQL, ORM, NoSQL) use parameterized queries, ORMs, entity frameworks, or are otherwise protected from database injection attacks. ([C3](https://owasp.org/www-project-proactive-controls/#div-numbering))</t>
  </si>
  <si>
    <t>https://github.com/IsepMartimOliveira/desofs2025_wed_ffs_4/blob/main/src/main/java/com/example/psoft_22_23_project/plansmanagement/repositories/PlansRepository.java</t>
  </si>
  <si>
    <t xml:space="preserve">Uses Spring Data JPA with parameterized queries, preventing SQL injection.
</t>
  </si>
  <si>
    <t>5.3.5</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</si>
  <si>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</si>
  <si>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5.3.6</t>
  </si>
  <si>
    <t>Verify that the application protects against JSON injection attacks, JSON eval attacks, and JavaScript expression evaluation. ([C4](https://owasp.org/www-project-proactive-controls/#div-numbering))</t>
  </si>
  <si>
    <t>5.3.7</t>
  </si>
  <si>
    <t>Verify that the application protects against LDAP injection vulnerabilities, or that specific security controls to prevent LDAP injection have been implemented. ([C4](https://owasp.org/www-project-proactive-controls/#div-numbering))</t>
  </si>
  <si>
    <t>5.3.8</t>
  </si>
  <si>
    <t>Verify that the application protects against OS command injection and that operating system calls use parameterized OS queries or use contextual command line output encoding. ([C4](https://owasp.org/www-project-proactive-controls/#div-numbering))</t>
  </si>
  <si>
    <t>5.3.9</t>
  </si>
  <si>
    <t>Verify that the application protects against Local File Inclusion (LFI) or Remote File Inclusion (RFI) attacks.</t>
  </si>
  <si>
    <t>inputs, preventing Local and Remote File Inclusion attacks.</t>
  </si>
  <si>
    <t>5.3.10</t>
  </si>
  <si>
    <t>Verify that the application protects against XPath injection or XML injection attacks. ([C4](https://owasp.org/www-project-proactive-controls/#div-numbering))</t>
  </si>
  <si>
    <t>Prevents XML injection by blocking SVG uploads through strict image type whitelisting</t>
  </si>
  <si>
    <t xml:space="preserve">Memory, String and Unmanaged Code </t>
  </si>
  <si>
    <t>5.4.1</t>
  </si>
  <si>
    <t>Verify that the application uses memory-safe string, safer memory copy and pointer arithmetic to detect or prevent stack, buffer, or heap overflows.</t>
  </si>
  <si>
    <t xml:space="preserve">The application is developed using a managed language (Java) which inherently provides memory safety and prevents buffer and heap overflows via its runtime environment.
</t>
  </si>
  <si>
    <t>5.4.2</t>
  </si>
  <si>
    <t>Verify that format strings do not take potentially hostile input, and are constant.</t>
  </si>
  <si>
    <t>5.4.3</t>
  </si>
  <si>
    <t>Verify that sign, range, and input validation techniques are used to prevent integer overflows.</t>
  </si>
  <si>
    <t xml:space="preserve">Deserialization Prevention </t>
  </si>
  <si>
    <t>5.5.1</t>
  </si>
  <si>
    <t>Verify that serialized objects use integrity checks or are encrypted to prevent hostile object creation or data tampering. ([C5](https://owasp.org/www-project-proactive-controls/#div-numbering))</t>
  </si>
  <si>
    <t>The application uses cryptographic signatures or encryption to ensure serialized data integrity and prevent tampering or hostile object injection.</t>
  </si>
  <si>
    <t>5.5.2</t>
  </si>
  <si>
    <t>Verify that the application correctly restricts XML parsers to only use the most restrictive configuration possible and to ensure that unsafe features such as resolving external entities are disabled to prevent XML eXternal Entity (XXE) attacks.</t>
  </si>
  <si>
    <t> The application also uses Apache Tika for file type validation in SanitizeImage.java, providing defense-in-depth against file-based XXE attacks</t>
  </si>
  <si>
    <t>5.5.3</t>
  </si>
  <si>
    <t>Verify that deserialization of untrusted data is avoided or is protected in both custom code and third-party libraries (such as JSON, XML and YAML parsers).</t>
  </si>
  <si>
    <t>All REST controllers use type-safe DTOs mapped through MapStruct, ensuring controlled deserialization paths without arbitrary object instantiation.</t>
  </si>
  <si>
    <t>5.5.4</t>
  </si>
  <si>
    <t>Verify that when parsing JSON in browsers or JavaScript-based backends, JSON.parse is used to parse the JSON document. Do not use eval() to parse JSON.</t>
  </si>
  <si>
    <t>Data Classification</t>
  </si>
  <si>
    <t>6.1.1</t>
  </si>
  <si>
    <t>Verify that regulated private data is stored encrypted while at rest, such as Personally Identifiable Information (PII), sensitive personal information, or data assessed likely to be subject to EU's GDPR.</t>
  </si>
  <si>
    <t>"public String encrypt(String plaintext) {
        if (plaintext == null || plaintext.isEmpty()) {
            return plaintext;
        }
        try {
            byte[] iv = new byte[ivLength];
            secureRandom.nextBytes(iv);
            Cipher cipher = Cipher.getInstance(transformation);
            GCMParameterSpec gcmParameterSpec = new GCMParameterSpec(tagLength, iv);
            cipher.init(Cipher.ENCRYPT_MODE, encryptionKey, gcmParameterSpec);
            byte[] encryptedData = cipher.doFinal(plaintext.getBytes(StandardCharsets.UTF_8));
            ByteBuffer buffer = ByteBuffer.allocate(ivLength + encryptedData.length);
            buffer.put(iv);
            buffer.put(encryptedData);
            return Base64.getEncoder().encodeToString(buffer.array());
        } catch (Exception e) {
            logger.error("Encryption failed", e);
            throw new RuntimeException("Failed to encrypt data", e);
        }
    }"</t>
  </si>
  <si>
    <t>User location, email, phone number, and age are encrypted before being saved.</t>
  </si>
  <si>
    <t>6.1.2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</si>
  <si>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</si>
  <si>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</si>
  <si>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Algorithms</t>
  </si>
  <si>
    <t>6.2.1</t>
  </si>
  <si>
    <t>Verify that all cryptographic modules fail securely, and errors are handled in a way that does not enable Padding Oracle attacks.</t>
  </si>
  <si>
    <t>Exceptions with generic error messages are used. Also, GCM is already resistant to Padding Oracle attacks.</t>
  </si>
  <si>
    <t>6.2.2</t>
  </si>
  <si>
    <t>Verify that industry proven or government approved cryptographic algorithms, modes, and libraries are used, instead of custom coded cryptography. ([C8](https://owasp.org/www-project-proactive-controls/#div-numbering))</t>
  </si>
  <si>
    <t>https://github.com/IsepMartimOliveira/desofs2025_wed_ffs_4/blob/main/src/main/java/com/example/psoft_22_23_project/configuration/SecurityConfig.java "@Bean
	 public PasswordEncoder passwordEncoder() {
		return new BCryptPasswordEncoder();
	}"</t>
  </si>
  <si>
    <t>Bcrypt password encoder is used for password hashing, RSA algorithm is used for JWT encoding/decoding, and AES is used for user data encryption which are industry standard algorithms.</t>
  </si>
  <si>
    <t>6.2.3</t>
  </si>
  <si>
    <t>Verify that encryption initialization vector, cipher configuration, and block modes are configured securely using the latest advice.</t>
  </si>
  <si>
    <t>AES/GCM is used, along with random generated IV for each encryption with SecureRandom.</t>
  </si>
  <si>
    <t>6.2.4</t>
  </si>
  <si>
    <t>Verify that random number, encryption or hashing algorithms, key lengths, rounds, ciphers or modes, can be reconfigured, upgraded, or swapped at any time, to protect against cryptographic breaks. ([C8](https://owasp.org/www-project-proactive-controls/#div-numbering))</t>
  </si>
  <si>
    <t>https://github.com/IsepMartimOliveira/desofs2025_wed_ffs_4/blob/main/src/main/java/com/example/psoft_22_23_project/configuration/SecurityConfig.java @Bean
	public JwtEncoder jwtEncoder() {
		final JWK jwk = new RSAKey.Builder(this.rsaPublicKey).privateKey(this.rsaPrivateKey).build();
		final JWKSource&lt;SecurityContext&gt; jwks = new ImmutableJWKSet&lt;&gt;(new JWKSet(jwk));
		return new NimbusJwtEncoder(jwks);
	}
	// Used by JwtAuthenticationProvider to decode and validate JWT tokens
	@Bean
	public JwtDecoder jwtDecoder() {
		return NimbusJwtDecoder.withPublicKey(this.rsaPublicKey).build();
	}</t>
  </si>
  <si>
    <t>The cryptographic primitives in use (BCrypt for password hashing and RSA for JWT signing) are configured via dependency injection and Spring beans in SecurityConfig.</t>
  </si>
  <si>
    <t>6.2.5</t>
  </si>
  <si>
    <t>Verify that known insecure block modes (i.e. ECB, etc.), padding modes (i.e. PKCS#1 v1.5, etc.), ciphers with small block sizes (i.e. Triple-DES, Blowfish, etc.), and weak hashing algorithms (i.e. MD5, SHA1, etc.) are not used unless required for backwards compatibility.</t>
  </si>
  <si>
    <t>JWTs are signed with RSA keys via Nimbus JOSE JWT, which does not use insecure block modes like ECB or weak paddings. Passwords are hashed with BCrypt, which is a strong, industry-standard algorithm and does not use weak hash functions like MD5 or SHA1. For user data encryption, AES/GCM is used.</t>
  </si>
  <si>
    <t>6.2.6</t>
  </si>
  <si>
    <t>Verify that nonces, initialization vectors, and other single use numbers must not be used more than once with a given encryption key. The method of generation must be appropriate for the algorithm being used.</t>
  </si>
  <si>
    <t>Passwords are protected with bcrypt, which generates a unique random salt for each password. This salt is treated as a single-use value (equivalent to a nonce) and is never reused. Also, a new IV is generated for each user data encription.</t>
  </si>
  <si>
    <t>6.2.7</t>
  </si>
  <si>
    <t>Verify that encrypted data is authenticated via signatures, authenticated cipher modes, or HMAC to ensure that ciphertext is not altered by an unauthorized party.</t>
  </si>
  <si>
    <t>"@Bean
	public JwtEncoder jwtEncoder() {
		final JWK jwk = new RSAKey.Builder(this.rsaPublicKey).privateKey(this.rsaPrivateKey).build();
		final JWKSource&lt;SecurityContext&gt; jwks = new ImmutableJWKSet&lt;&gt;(new JWKSet(jwk));
		return new NimbusJwtEncoder(jwks);
	}
	// Used by JwtAuthenticationProvider to decode and validate JWT tokens
	@Bean
	public JwtDecoder jwtDecoder() {
		return NimbusJwtDecoder.withPublicKey(this.rsaPublicKey).build();
	}"</t>
  </si>
  <si>
    <t>JWTs are signed (authenticated) using RSA, and GCM provides authenticated encription.</t>
  </si>
  <si>
    <t>6.2.8</t>
  </si>
  <si>
    <t>Verify that all cryptographic operations are constant-time, with no 'short-circuit' operations in comparisons, calculations, or returns, to avoid leaking information.</t>
  </si>
  <si>
    <t>@Bean_x000D_
	public JwtEncoder jwtEncoder() {_x000D_
		final JWK jwk = new RSAKey.Builder(this.rsaPublicKey).privateKey(this.rsaPrivateKey).build();_x000D_
		final JWKSource&lt;SecurityContext&gt; jwks = new ImmutableJWKSet&lt;&gt;(new JWKSet(jwk));_x000D_
		return new NimbusJwtEncoder(jwks);_x000D_
	}_x000D_
_x000D_
	// Used by JwtAuthenticationProvider to decode and validate JWT tokens_x000D_
	@Bean_x000D_
	public JwtDecoder jwtDecoder() {_x000D_
		return NimbusJwtDecoder.withPublicKey(this.rsaPublicKey).build();_x000D_
	}</t>
  </si>
  <si>
    <t>All cryptographic operations (password hashing with BCrypt and JWT signing/verification with RSA via Nimbus JOSE JWT) are handled by well-established libraries.</t>
  </si>
  <si>
    <t>Random values</t>
  </si>
  <si>
    <t>6.3.1</t>
  </si>
  <si>
    <t>Verify that all random numbers, random file names, random GUIDs, and random strings are generated using the cryptographic module's approved cryptographically secure random number generator when these random values are intended to be not guessable by an attacker.</t>
  </si>
  <si>
    <t>"@Bean
	public PasswordEncoder passwordEncoder() {
		return new BCryptPasswordEncoder();
	}"</t>
  </si>
  <si>
    <t>The random salt used in password hashing is generated using a secure random number generator, managed by BCryptPasswordEncoder. Other random values are not security relevant.</t>
  </si>
  <si>
    <t>6.3.2</t>
  </si>
  <si>
    <t>Verify that random GUIDs are created using the GUID v4 algorithm, and a Cryptographically-secure Pseudo-random Number Generator (CSPRNG). GUIDs created using other pseudo-random number generators may be predictable.</t>
  </si>
  <si>
    <t>Random UUIDs generated in the project are exclusively used for internal logging or files names that aren't externally accessible without authentication.</t>
  </si>
  <si>
    <t>6.3.3</t>
  </si>
  <si>
    <t>Verify that random numbers are created with proper entropy even when the application is under heavy load, or that the application degrades gracefully in such circumstances.</t>
  </si>
  <si>
    <t>All cryptographic operations (password hashing with BCrypt and JWT signing/verification with RSA via Nimbus JOSE JWT) use, by default, Spring Security SecureRandom for random number generation.</t>
  </si>
  <si>
    <t>Secret Management</t>
  </si>
  <si>
    <t>6.4.1</t>
  </si>
  <si>
    <t>Verify that a secrets management solution such as a key vault is used to securely create, store, control access to and destroy secrets. ([C8](https://owasp.org/www-project-proactive-controls/#div-numbering))</t>
  </si>
  <si>
    <t>https://github.com/IsepMartimOliveira/desofs2025_wed_ffs_4/blob/main/.github/workflows/build_and_publish.yaml</t>
  </si>
  <si>
    <t>Secrets are managed using GitHub Secrets</t>
  </si>
  <si>
    <t>6.4.2</t>
  </si>
  <si>
    <t>Verify that key material is not exposed to the application but instead uses an isolated security module like a vault for cryptographic operations. ([C8](https://owasp.org/www-project-proactive-controls/#div-numbering))</t>
  </si>
  <si>
    <t xml:space="preserve">Log Content </t>
  </si>
  <si>
    <t>Verify that the application does not log credentials or payment details. Session tokens should only be stored in logs in an irreversible, hashed form. ([C9, C10](https://owasp.org/www-project-proactive-controls/#div-numbering))</t>
  </si>
  <si>
    <t>Inside the try-catch block of the login method</t>
  </si>
  <si>
    <t>Verify that the application does not log other sensitive data as defined under local privacy laws or relevant security policy. ([C9](https://owasp.org/www-project-proactive-controls/#div-numbering))</t>
  </si>
  <si>
    <t>Line 107 (log.info("User {} successfully authenticated from IP {} in {} ms", Utils.sanitize(username), Utils.sanitize(clientIp),duration);)</t>
  </si>
  <si>
    <t>7.1.3</t>
  </si>
  <si>
    <t>Verify that the application logs security relevant events including successful and failed authentication events, access control failures, deserialization failures and input validation failures. ([C5, C7](https://owasp.org/www-project-proactive-controls/#div-numbering))</t>
  </si>
  <si>
    <t>Line 119 and 120</t>
  </si>
  <si>
    <t>7.1.4</t>
  </si>
  <si>
    <t>Verify that each log event includes necessary information that would allow for a detailed investigation of the timeline when an event happens. ([C9](https://owasp.org/www-project-proactive-controls/#div-numbering))</t>
  </si>
  <si>
    <t>https://github.com/IsepMartimOliveira/desofs2025_wed_ffs_4/blob/main/src/main/java/com/example/psoft_22_23_project/subscriptionsmanagement/api/SubscriptionsController.java</t>
  </si>
  <si>
    <t>Log Processing</t>
  </si>
  <si>
    <t>Verify that all authentication decisions are logged, without storing sensitive session identifiers or passwords. This should include requests with relevant metadata needed for security investigations.</t>
  </si>
  <si>
    <t>7.2.2</t>
  </si>
  <si>
    <t>Verify that all access control decisions can be logged and all failed decisions are logged. This should include requests with relevant metadata needed for security investigations.</t>
  </si>
  <si>
    <t>All the class Auth you can see all failed decisions are logged</t>
  </si>
  <si>
    <t>Log Protection</t>
  </si>
  <si>
    <t>7.3.1</t>
  </si>
  <si>
    <t>Verify that all logging components appropriately encode data to prevent log injection. ([C9](https://owasp.org/www-project-proactive-controls/#div-numbering))</t>
  </si>
  <si>
    <t>https://github.com/IsepMartimOliveira/desofs2025_wed_ffs_4/blob/main/src/main/java/com/example/psoft_22_23_project/exceptions/GlobalExceptionHandler.java</t>
  </si>
  <si>
    <t>in all logs of the class</t>
  </si>
  <si>
    <t>7.3.2</t>
  </si>
  <si>
    <t xml:space="preserve">[DELETED, DUPLICATE OF 7.3.1] </t>
  </si>
  <si>
    <t>7.3.3</t>
  </si>
  <si>
    <t>Verify that security logs are protected from unauthorized access and modification. ([C9](https://owasp.org/www-project-proactive-controls/#div-numbering))</t>
  </si>
  <si>
    <t>7.3.4</t>
  </si>
  <si>
    <t>Verify that time sources are synchronized to the correct time and time zone. Strongly consider logging only in UTC if systems are global to assist with post-incident forensic analysis. ([C9](https://owasp.org/www-project-proactive-controls/#div-numbering))</t>
  </si>
  <si>
    <t>Error Handling</t>
  </si>
  <si>
    <t>7.4.1</t>
  </si>
  <si>
    <t>Verify that a generic message is shown when an unexpected or security sensitive error occurs, potentially with a unique ID which support personnel can use to investigate. ([C10](https://owasp.org/www-project-proactive-controls/#div-numbering))</t>
  </si>
  <si>
    <t>Method handleInternalServerError</t>
  </si>
  <si>
    <t>7.4.2</t>
  </si>
  <si>
    <t>Verify that exception handling (or a functional equivalent) is used across the codebase to account for expected and unexpected error conditions. ([C10](https://owasp.org/www-project-proactive-controls/#div-numbering))</t>
  </si>
  <si>
    <t>Inside the try-catch block of the login method when you have 2 catches (LockedException and Exception)</t>
  </si>
  <si>
    <t>7.4.3</t>
  </si>
  <si>
    <t>Verify that a "last resort" error handler is defined which will catch all unhandled exceptions. ([C10](https://owasp.org/www-project-proactive-controls/#div-numbering))</t>
  </si>
  <si>
    <t>General Data Protection</t>
  </si>
  <si>
    <t>8.1.1</t>
  </si>
  <si>
    <t>Verify the application protects sensitive data from being cached in server components such as load balancers and application caches.</t>
  </si>
  <si>
    <t>8.1.2</t>
  </si>
  <si>
    <t>Verify that all cached or temporary copies of sensitive data stored on the server are protected from unauthorized access or purged/invalidated after the authorized user accesses the sensitive data.</t>
  </si>
  <si>
    <t>8.1.3</t>
  </si>
  <si>
    <t>Verify the application minimizes the number of parameters in a request, such as hidden fields, Ajax variables, cookies and header values.</t>
  </si>
  <si>
    <t>https://github.com/IsepMartimOliveira/desofs2025_wed_ffs_4/blob/main/src/main/java/com/example/psoft_22_23_project/dashboardmanagement/api/DashboardController.java</t>
  </si>
  <si>
    <t>Parameter minimization - Controllers use minimal params with @Valid validation (DashboardController.getDashboardView max 6 params)</t>
  </si>
  <si>
    <t>8.1.4</t>
  </si>
  <si>
    <t>Verify the application can detect and alert on abnormal numbers of requests, such as by IP, user, total per hour or day, or whatever makes sense for the application.</t>
  </si>
  <si>
    <t>The LoginAttemptService.loginFailed() in LoginAttemptService.java implements request monitoring by tracking attempt counts per user/IP, detecting threshold breaches (5 user, 20 IP), and triggering automatic blocks with security logging.</t>
  </si>
  <si>
    <t>8.1.5</t>
  </si>
  <si>
    <t>Verify that regular backups of important data are performed and that test restoration of data is performed.</t>
  </si>
  <si>
    <t>8.1.6</t>
  </si>
  <si>
    <t>Verify that backups are stored securely to prevent data from being stolen or corrupted.</t>
  </si>
  <si>
    <t>Client-side Data Protection</t>
  </si>
  <si>
    <t>8.2.1</t>
  </si>
  <si>
    <t>Verify the application sets sufficient anti-caching headers so that sensitive data is not cached in modern browsers.</t>
  </si>
  <si>
    <t>8.2.2</t>
  </si>
  <si>
    <t xml:space="preserve"> Verify that data stored in browser storage (such as localStorage, sessionStorage, IndexedDB, or cookies) does not contain sensitive data.</t>
  </si>
  <si>
    <t>8.2.3</t>
  </si>
  <si>
    <t>Verify that authenticated data is cleared from client storage, such as the browser DOM, after the client or session is terminated.</t>
  </si>
  <si>
    <t>Sensitive Private Data</t>
  </si>
  <si>
    <t>8.3.1</t>
  </si>
  <si>
    <t>Verify that sensitive data is sent to the server in the HTTP message body or headers, and that query string parameters from any HTTP verb do not contain sensitive data.</t>
  </si>
  <si>
    <t>8.3.2</t>
  </si>
  <si>
    <t>Verify that users have a method to remove or export their data on demand.</t>
  </si>
  <si>
    <t>Two endpoints were implemented in order for the user to be able to export their personal data in JSON format or request its deletion.</t>
  </si>
  <si>
    <t>8.3.3</t>
  </si>
  <si>
    <t>Verify that users are provided clear language regarding collection and use of supplied personal information and that users have provided opt-in consent for the use of that data before it is used in any way.</t>
  </si>
  <si>
    <t>8.3.4</t>
  </si>
  <si>
    <t>Verify that all sensitive data created and processed by the application has been identified, and ensure that a policy is in place on how to deal with sensitive data. ([C8](https://owasp.org/www-project-proactive-controls/#div-numbering))</t>
  </si>
  <si>
    <t>8.3.5</t>
  </si>
  <si>
    <t>Verify accessing sensitive data is audited (without logging the sensitive data itself), if the data is collected under relevant data protection directives or where logging of access is required.</t>
  </si>
  <si>
    <t>8.3.6</t>
  </si>
  <si>
    <t>Verify that sensitive information contained in memory is overwritten as soon as it is no longer required to mitigate memory dumping attacks, using zeroes or random data.</t>
  </si>
  <si>
    <t>8.3.7</t>
  </si>
  <si>
    <t>Verify that sensitive or private information that is required to be encrypted, is encrypted using approved algorithms that provide both confidentiality and integrity. ([C8](https://owasp.org/www-project-proactive-controls/#div-numbering))</t>
  </si>
  <si>
    <t>https://github.com/IsepMartimOliveira/desofs2025_wed_ffs_4/blob/main/src/main/java/com/example/psoft_22_23_project/usermanagement/services/LoginAttemptService.java</t>
  </si>
  <si>
    <t>8.3.8</t>
  </si>
  <si>
    <t>Verify that sensitive personal information is subject to data retention classification, such that old or out of date data is deleted automatically, on a schedule, or as the situation requires.</t>
  </si>
  <si>
    <t xml:space="preserve">Client Communications Security </t>
  </si>
  <si>
    <t>9.1.1</t>
  </si>
  <si>
    <t>Verify that TLS is used for all client connectivity, and does not fall back to insecure or unencrypted communications. ([C8](https://owasp.org/www-project-proactive-controls/#div-numbering))</t>
  </si>
  <si>
    <t>https://github.com/IsepMartimOliveira/desofs2025_wed_ffs_4/blob/main/src/main/resources/application.properties</t>
  </si>
  <si>
    <t>Enable SSL in application properties</t>
  </si>
  <si>
    <t>9.1.2</t>
  </si>
  <si>
    <t>Verify using up to date TLS testing tools that only strong cipher suites are enabled, with the strongest cipher suites set as preferred.</t>
  </si>
  <si>
    <t>HTTPS is enforced through Spring Boot configuration using a self-signed certificate in keystore.p12. The application is configured to support only TLS 1.2 and 1.3, and to disable all older or insecure protocols. Strong cipher suites are explicitly enabled.</t>
  </si>
  <si>
    <t>9.1.3</t>
  </si>
  <si>
    <t>Verify that only the latest recommended versions of the TLS protocol are enabled, such as TLS 1.2 and TLS 1.3. The latest version of the TLS protocol should be the preferred option.</t>
  </si>
  <si>
    <t>In application.properties we have "server.ssl.enabled-protocols=TLSv1.3,TLSv1.2 "</t>
  </si>
  <si>
    <t xml:space="preserve">Server Communication Security </t>
  </si>
  <si>
    <t>9.2.1</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</si>
  <si>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</si>
  <si>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In application.properties we have "server.ssl.key-store=classpath:keystore.p12"</t>
  </si>
  <si>
    <t>9.2.2</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</si>
  <si>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</si>
  <si>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9.2.3</t>
  </si>
  <si>
    <t>Verify that all encrypted connections to external systems that involve sensitive information or functions are authenticated.</t>
  </si>
  <si>
    <t>9.2.4</t>
  </si>
  <si>
    <t>Verify that proper certification revocation, such as Online Certificate Status Protocol (OCSP) Stapling, is enabled and configured.</t>
  </si>
  <si>
    <t>9.2.5</t>
  </si>
  <si>
    <t>Verify that backend TLS connection failures are logged.</t>
  </si>
  <si>
    <t>In application.properties we add logging.level.javax.net.ssl=DEBUG</t>
  </si>
  <si>
    <t>Code Integrity</t>
  </si>
  <si>
    <t>10.1.1</t>
  </si>
  <si>
    <t>Verify that a code analysis tool is in use that can detect potentially malicious code, such as time functions, unsafe file operations and network connections.</t>
  </si>
  <si>
    <t>https://github.com/IsepMartimOliveira/desofs2025_wed_ffs_4/blob/main/.github/workflows/tests_before_push_main.yaml</t>
  </si>
  <si>
    <t xml:space="preserve">We use SonarQube in our pipeline </t>
  </si>
  <si>
    <t>Malicious Code Search</t>
  </si>
  <si>
    <t>10.2.1</t>
  </si>
  <si>
    <t>Verify that the application source code and third party libraries do not contain unauthorized phone home or data collection capabilities. Where such functionality exists, obtain the user's permission for it to operate  before collecting any data.</t>
  </si>
  <si>
    <t>https://github.com/IsepMartimOliveira/desofs2025_wed_ffs_4/blob/main/pom.xml</t>
  </si>
  <si>
    <t>After analyzing the documentation of the third-party libraries and the source code, there is no unauthorized data collection.</t>
  </si>
  <si>
    <t>10.2.2</t>
  </si>
  <si>
    <t>Verify that the application does not ask for unnecessary or excessive permissions to privacy related features or sensors, such as contacts, cameras, microphones, or location.</t>
  </si>
  <si>
    <t>10.2.3</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</si>
  <si>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</si>
  <si>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10.2.4</t>
  </si>
  <si>
    <t>Verify that the application source code and third party libraries do not contain time bombs by searching for date and time related functions.</t>
  </si>
  <si>
    <t>10.2.5</t>
  </si>
  <si>
    <t>Verify that the application source code and third party libraries do not contain malicious code, such as salami attacks, logic bypasses, or logic bombs.</t>
  </si>
  <si>
    <t>10.2.6</t>
  </si>
  <si>
    <t>Verify that the application source code and third party libraries do not contain Easter eggs or any other potentially unwanted functionality.</t>
  </si>
  <si>
    <t>Application Integrity</t>
  </si>
  <si>
    <t>10.3.1</t>
  </si>
  <si>
    <t>Verify that if the application has a client or server auto-update feature, updates should be obtained over secure channels and digitally signed. The update code must validate the digital signature of the update before installing or executing the update.</t>
  </si>
  <si>
    <t>10.3.2</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</si>
  <si>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</si>
  <si>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SecurityConfig.java proves integrity protection through HTTPS enforcement, CSP headers blocking untrusted scripts, and strict access controls.</t>
  </si>
  <si>
    <t>10.3.3</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</si>
  <si>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</si>
  <si>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 xml:space="preserve">https://github.com/IsepMartimOliveira/desofs2025_wed_ffs_4/blob/main/src/main/resources/application.properties </t>
  </si>
  <si>
    <t>Application.properties line 83 to 88</t>
  </si>
  <si>
    <t>Business Logic Security Requirements</t>
  </si>
  <si>
    <t>11.1.1</t>
  </si>
  <si>
    <t>Verify that the application will only process business logic flows for the same user in sequential step order and without skipping steps.</t>
  </si>
  <si>
    <t>This requirement is fulfilled by enforcing sequential business logic steps — such as plan selection, subscription creation, cancellation, renewal, and plan changes — while ensuring that only the authenticated user can perform these actions and that each step validates the current subscription state.</t>
  </si>
  <si>
    <t>11.1.2</t>
  </si>
  <si>
    <t>Verify that the application will only process business logic flows with all steps being processed in realistic human time, i.e. transactions are not submitted too quickly.</t>
  </si>
  <si>
    <t>https://github.com/IsepMartimOliveira/desofs2025_wed_ffs_4/blob/60685731027efced577ee73517a2d84a07e1e639/src/main/java/com/example/psoft_22_23_project/api/AuthApi.java#L63</t>
  </si>
  <si>
    <t>Between line 63 to 148. The login flow implements both IP-based and user-based login throttling. On repeated failed attempts, accounts or IPs are temporarily blocked. This mechanism ensures login cannot be automated or abused at speeds beyond realistic human interaction. While login is a single-step action, similar protections would be extended to multi-step flows as applicable elsewhere in the application.</t>
  </si>
  <si>
    <t>11.1.3</t>
  </si>
  <si>
    <t>Verify the application has appropriate limits for specific business actions or transactions which are correctly enforced on a per user basis.</t>
  </si>
  <si>
    <t>Between line 63 to 148.</t>
  </si>
  <si>
    <t>11.1.4</t>
  </si>
  <si>
    <t>Verify that the application has anti-automation controls to protect against excessive calls such as mass data exfiltration, business logic requests, file uploads or denial of service attacks.</t>
  </si>
  <si>
    <t>11.1.5</t>
  </si>
  <si>
    <t>Verify the application has business logic limits or validation to protect against likely business risks or threats, identified using threat modeling or similar methodologies.</t>
  </si>
  <si>
    <t>11.1.6</t>
  </si>
  <si>
    <t>Verify that the application does not suffer from "Time Of Check to Time Of Use" (TOCTOU) issues or other race conditions for sensitive operations.</t>
  </si>
  <si>
    <t>https://github.com/IsepMartimOliveira/desofs2025_wed_ffs_4/blob/60685731027efced577ee73517a2d84a07e1e639/src/main/java/com/example/psoft_22_23_project/devicemanagement/services/DeviceServiceImpl.java#L111</t>
  </si>
  <si>
    <t>In the line 111. The application uses Spring's @Transactional annotation to ensure that sensitive operations (e.g., financial transactions, record updates) are performed atomically. Business logic validations and data modifications occur in a single transaction, preventing TOCTOU issues.</t>
  </si>
  <si>
    <t>11.1.7</t>
  </si>
  <si>
    <t>Verify that the application monitors for unusual events or activity from a business logic perspective. For example, attempts to perform actions out of order or actions which a normal user would never attempt. ([C9](https://owasp.org/www-project-proactive-controls/#div-numbering))</t>
  </si>
  <si>
    <t>11.1.8</t>
  </si>
  <si>
    <t>Verify that the application has configurable alerting when automated attacks or unusual activity is detected.</t>
  </si>
  <si>
    <t xml:space="preserve">File Upload </t>
  </si>
  <si>
    <t>12.1.1</t>
  </si>
  <si>
    <t>Verify that the application will not accept large files that could fill up storage or cause a denial of service.</t>
  </si>
  <si>
    <t>Upload size limits are configured in application.properties to prevent large file uploads and mitigate DoS risks</t>
  </si>
  <si>
    <t>12.1.2</t>
  </si>
  <si>
    <t xml:space="preserve">Verify that the application checks compressed files (e.g. zip, gz, docx, odt) against maximum allowed uncompressed size and against maximum number of files before uncompressing the file. </t>
  </si>
  <si>
    <t>https://github.com/IsepMartimOliveira/desofs2025_wed_ffs_4/blob/main/src/main/java/com/example/psoft_22_23_project/filestoragemanagement/sanitize/AllowedImage.java</t>
  </si>
  <si>
    <t>Application does not support/allow compressed files</t>
  </si>
  <si>
    <t>12.1.3</t>
  </si>
  <si>
    <t>Verify that a file size quota and maximum number of files per user is enforced to ensure that a single user cannot fill up the storage with too many files, or excessively large files.</t>
  </si>
  <si>
    <t>Lines 53 and 55. A user can only have one image</t>
  </si>
  <si>
    <t>File Integrity</t>
  </si>
  <si>
    <t>12.2.1</t>
  </si>
  <si>
    <t>Verify that files obtained from untrusted sources are validated to be of expected type based on the file's content.</t>
  </si>
  <si>
    <t>Lines 113 to 121</t>
  </si>
  <si>
    <t>File Execution</t>
  </si>
  <si>
    <t>12.3.1</t>
  </si>
  <si>
    <t>Verify that user-submitted filename metadata is not used directly by system or framework filesystems and that a URL API is used to protect against path traversal.</t>
  </si>
  <si>
    <t>https://github.com/IsepMartimOliveira/desofs2025_wed_ffs_4/blob/main/src/main/java/com/example/psoft_22_23_project/filestoragemanagement/sanitize/SanitizeImage.java#L87</t>
  </si>
  <si>
    <t>Lines 87 to 111</t>
  </si>
  <si>
    <t>12.3.2</t>
  </si>
  <si>
    <t>Verify that user-submitted filename metadata is validated or ignored to prevent the disclosure, creation, updating or removal of local files (LFI).</t>
  </si>
  <si>
    <t>12.3.3</t>
  </si>
  <si>
    <t>Verify that user-submitted filename metadata is validated or ignored to prevent the disclosure or execution of remote files via Remote File Inclusion (RFI) or Server-side Request Forgery (SSRF) attacks.</t>
  </si>
  <si>
    <t>12.3.4</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</si>
  <si>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</si>
  <si>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12.3.5</t>
  </si>
  <si>
    <t>Verify that untrusted file metadata is not used directly with system API or libraries, to protect against OS command injection.</t>
  </si>
  <si>
    <t>12.3.6</t>
  </si>
  <si>
    <t>Verify that the application does not include and execute functionality from untrusted sources, such as unverified content distribution networks, JavaScript libraries, node npm libraries, or server-side DLLs.</t>
  </si>
  <si>
    <t>File Storage</t>
  </si>
  <si>
    <t>12.4.1</t>
  </si>
  <si>
    <t>Verify that files obtained from untrusted sources are stored outside the web root, with limited permissions.</t>
  </si>
  <si>
    <t>https://github.com/IsepMartimOliveira/desofs2025_wed_ffs_4/blob/main/src/main/resources/assets/keep-calm-and-love-jpa.png</t>
  </si>
  <si>
    <t>The files are stored in a specific folder outside the web root</t>
  </si>
  <si>
    <t>12.4.2</t>
  </si>
  <si>
    <t>Verify that files obtained from untrusted sources are scanned by antivirus scanners to prevent upload and serving of known malicious content.</t>
  </si>
  <si>
    <t>File Download</t>
  </si>
  <si>
    <t>12.5.1</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</si>
  <si>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</si>
  <si>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12.5.2</t>
  </si>
  <si>
    <t>Verify that direct requests to uploaded files will never be executed as HTML/JavaScript content.</t>
  </si>
  <si>
    <t>SSRF Protection</t>
  </si>
  <si>
    <t>12.6.1</t>
  </si>
  <si>
    <t>Verify that the web or application server is configured with an allow list of resources or systems to which the server can send requests or load data/files from.</t>
  </si>
  <si>
    <t>Generic Web Service Security</t>
  </si>
  <si>
    <t>13.1.1</t>
  </si>
  <si>
    <t>Verify that all application components use the same encodings and parsers to avoid parsing attacks that exploit different URI or file parsing behavior that could be used in SSRF and RFI attacks.</t>
  </si>
  <si>
    <t>This configuration ensures consistent encoding and parsing across all components by integrating the EncodingSecurityFilter for SSRF/RFI protection</t>
  </si>
  <si>
    <t>13.1.2</t>
  </si>
  <si>
    <t xml:space="preserve">[DELETED, DUPLICATE OF 4.3.1] </t>
  </si>
  <si>
    <t>13.1.3</t>
  </si>
  <si>
    <t>Verify API URLs do not expose sensitive information, such as the API key, session tokens etc.</t>
  </si>
  <si>
    <t>No sensitive information is exposed</t>
  </si>
  <si>
    <t>13.1.4</t>
  </si>
  <si>
    <t>Verify that authorization decisions are made at both the URI, enforced by programmatic or declarative security at the controller or router, and at the resource level, enforced by model-based permissions.</t>
  </si>
  <si>
    <t>Lines 163 and 157 for example</t>
  </si>
  <si>
    <t>13.1.5</t>
  </si>
  <si>
    <t>Verify that requests containing unexpected or missing content types are rejected with appropriate headers (HTTP response status 406 Unacceptable or 415 Unsupported Media Type).</t>
  </si>
  <si>
    <t>RESTful Web Service</t>
  </si>
  <si>
    <t>13.2.1</t>
  </si>
  <si>
    <t>Verify that enabled RESTful HTTP methods are a valid choice for the user or action, such as preventing normal users using DELETE or PUT on protected API or resources.</t>
  </si>
  <si>
    <t>13.2.2</t>
  </si>
  <si>
    <t>Verify that JSON schema validation is in place and verified before accepting input.</t>
  </si>
  <si>
    <t>CreatePlanRequest for example</t>
  </si>
  <si>
    <t>13.2.3</t>
  </si>
  <si>
    <t>Verify that RESTful web services that utilize cookies are protected from Cross-Site Request Forgery via the use of at least one or more of the following: double submit cookie pattern, CSRF nonces, or Origin request header checks.</t>
  </si>
  <si>
    <t>13.2.4</t>
  </si>
  <si>
    <t>[DELETED, DUPLICATE OF 11.1.4]</t>
  </si>
  <si>
    <t>13.2.5</t>
  </si>
  <si>
    <t>Verify that REST services explicitly check the incoming Content-Type to be the expected one, such as application/xml or application/json.</t>
  </si>
  <si>
    <t>Uses @PostMapping, @PatchMapping, @DeleteMapping with explicit 'consumes' parameter.Validates that incoming requests have the expected Content-Type (application/json).Automatically rejects requests with invalid/missing Content-Type with HTTP 415.</t>
  </si>
  <si>
    <t>13.2.6</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</si>
  <si>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</si>
  <si>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SOAP Web Service</t>
  </si>
  <si>
    <t>13.3.1</t>
  </si>
  <si>
    <t>Verify that XSD schema validation takes place to ensure a properly formed XML document, followed by validation of each input field before any processing of that data takes place.</t>
  </si>
  <si>
    <t>13.3.2</t>
  </si>
  <si>
    <t>Verify that the message payload is signed using WS-Security to ensure reliable transport between client and service.</t>
  </si>
  <si>
    <t>GraphQL</t>
  </si>
  <si>
    <t>13.4.1</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</si>
  <si>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</si>
  <si>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13.4.2</t>
  </si>
  <si>
    <t>Verify that GraphQL or other data layer authorization logic should be implemented at the business logic layer instead of the GraphQL layer.</t>
  </si>
  <si>
    <t>Build and Deploy</t>
  </si>
  <si>
    <t>14.1.1</t>
  </si>
  <si>
    <t>Verify that the application build and deployment processes are performed in a secure and repeatable way, such as CI / CD automation, automated configuration management, and automated deployment scripts.</t>
  </si>
  <si>
    <t>14.1.2</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</si>
  <si>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</si>
  <si>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14.1.3</t>
  </si>
  <si>
    <t>Verify that server configuration is hardened as per the recommendations of the application server and frameworks in use.</t>
  </si>
  <si>
    <t>14.1.4</t>
  </si>
  <si>
    <t>Verify that the application, configuration, and all dependencies can be re-deployed using automated deployment scripts, built from a documented and tested runbook in a reasonable time, or restored from backups in a timely fashion.</t>
  </si>
  <si>
    <t>14.1.5</t>
  </si>
  <si>
    <t>Verify that authorized administrators can verify the integrity of all security-relevant configurations to detect tampering.</t>
  </si>
  <si>
    <t>Dependency</t>
  </si>
  <si>
    <t>14.2.1</t>
  </si>
  <si>
    <t>Verify that all components are up to date, preferably using a dependency checker during build or compile time. ([C2](https://owasp.org/www-project-proactive-controls/#div-numbering))</t>
  </si>
  <si>
    <t>14.2.2</t>
  </si>
  <si>
    <t xml:space="preserve"> Verify that all unneeded features, documentation, sample applications and configurations are removed.</t>
  </si>
  <si>
    <t>14.2.3</t>
  </si>
  <si>
    <t>Verify that if application assets, such as JavaScript libraries, CSS stylesheets or web fonts, are hosted externally on a content delivery network (CDN) or external provider, Subresource Integrity (SRI) is used to validate the integrity of the asset.</t>
  </si>
  <si>
    <t>Is just a backend API</t>
  </si>
  <si>
    <t>14.2.4</t>
  </si>
  <si>
    <t>Verify that third party components come from pre-defined, trusted and continually maintained repositories. ([C2](https://owasp.org/www-project-proactive-controls/#div-numbering))</t>
  </si>
  <si>
    <t>The use of maven helps ensure this</t>
  </si>
  <si>
    <t>14.2.5</t>
  </si>
  <si>
    <t>Verify that a Software Bill of Materials (SBOM) is maintained of all third party libraries in use. ([C2](https://owasp.org/www-project-proactive-controls/#div-numbering))</t>
  </si>
  <si>
    <t>14.2.6</t>
  </si>
  <si>
    <t>Verify that the attack surface is reduced by sandboxing or encapsulating third party libraries to expose only the required behaviour into the application. ([C2](https://owasp.org/www-project-proactive-controls/#div-numbering))</t>
  </si>
  <si>
    <t>Unintended Security Disclosure</t>
  </si>
  <si>
    <t>14.3.1</t>
  </si>
  <si>
    <t xml:space="preserve">[DELETED, DUPLICATE OF 7.4.1] </t>
  </si>
  <si>
    <t>14.3.2</t>
  </si>
  <si>
    <t>Verify that web or application server and application framework debug modes are disabled in production to eliminate debug features, developer consoles, and unintended security disclosures.</t>
  </si>
  <si>
    <t>between lines 73 to 79</t>
  </si>
  <si>
    <t>14.3.3</t>
  </si>
  <si>
    <t>Verify that the HTTP headers or any part of the HTTP response do not expose detailed version information of system components.</t>
  </si>
  <si>
    <t>HTTP Security Headers</t>
  </si>
  <si>
    <t>14.4.1</t>
  </si>
  <si>
    <t>Verify that every HTTP response contains a Content-Type header. Also specify a safe character set (e.g., UTF-8, ISO-8859-1) if the content types are text/*, /+xml and application/xml. Content must match with the provided Content-Type header.</t>
  </si>
  <si>
    <t>https://github.com/IsepMartimOliveira/desofs2025_wed_ffs_4/blob/main/src/main/java/com/example/psoft_22_23_project/devicemanagement/api/DeviceController.java</t>
  </si>
  <si>
    <t>In the line75</t>
  </si>
  <si>
    <t>14.4.2</t>
  </si>
  <si>
    <t>Verify that all API responses contain Content-Disposition: attachment; filename="api.json" header (or other appropriate filename for the content type).</t>
  </si>
  <si>
    <t>between line 146 to 149</t>
  </si>
  <si>
    <t>14.4.3</t>
  </si>
  <si>
    <t>Verify that a Content Security Policy (CSP) response header is in place that helps mitigate impact for XSS attacks like HTML, DOM, JSON, and JavaScript injection vulnerabilities.</t>
  </si>
  <si>
    <t>between Lines 184-188</t>
  </si>
  <si>
    <t>14.4.4</t>
  </si>
  <si>
    <t>Verify that all responses contain a X-Content-Type-Options: nosniff header.</t>
  </si>
  <si>
    <t>between Lines 184-188. By default nosniff is enabled</t>
  </si>
  <si>
    <t>14.4.5</t>
  </si>
  <si>
    <t>Verify that a Strict-Transport-Security header is included on all responses and for all subdomains, such as Strict-Transport-Security: max-age=15724800; includeSubdomains.</t>
  </si>
  <si>
    <t>between line 99 to 100</t>
  </si>
  <si>
    <t>14.4.6</t>
  </si>
  <si>
    <t>Verify that a suitable Referrer-Policy header is included to avoid exposing sensitive information in the URL through the Referer header to untrusted parties.</t>
  </si>
  <si>
    <t>between line 189 to 190</t>
  </si>
  <si>
    <t>14.4.7</t>
  </si>
  <si>
    <t>Verify that the content of a web application cannot be embedded in a third-party site by default and that embedding of the exact resources is only allowed where necessary by using suitable Content-Security-Policy: frame-ancestors and X-Frame-Options response headers.</t>
  </si>
  <si>
    <t>between line 184 to 188</t>
  </si>
  <si>
    <t>HTTP Request Header Validation</t>
  </si>
  <si>
    <t>14.5.1</t>
  </si>
  <si>
    <t>Verify that the application server only accepts the HTTP methods in use by the application/API, including pre-flight OPTIONS, and logs/alerts on any requests that are not valid for the application context.</t>
  </si>
  <si>
    <t>between line 238 and 248</t>
  </si>
  <si>
    <t>14.5.2</t>
  </si>
  <si>
    <t>Verify that the supplied Origin header is not used for authentication or access control decisions, as the Origin header can easily be changed by an attacker.</t>
  </si>
  <si>
    <t>Betweetn Line 220 and 227 .Because the validation is made by token the solution is compliant</t>
  </si>
  <si>
    <t>14.5.3</t>
  </si>
  <si>
    <t>Verify that the Cross-Origin Resource Sharing (CORS) Access-Control-Allow-Origin header uses a strict allow list of trusted domains and subdomains to match against and does not support the "null" origin.</t>
  </si>
  <si>
    <t>14.5.4</t>
  </si>
  <si>
    <t>Verify that HTTP headers added by a trusted proxy or SSO devices, such as a bearer token, are authenticated by the application.</t>
  </si>
  <si>
    <t>Between Line 214 to 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</si>
</sst>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0.00,_€"/>
  </numFmts>
  <fonts count="25">
    <font>
      <sz val="10"/>
      <name val="Arial"/>
      <family val="2"/>
      <charset val="1"/>
    </font>
    <font>
      <sz val="16"/>
      <name val="Calibri"/>
      <family val="2"/>
      <charset val="1"/>
    </font>
    <font>
      <sz val="10"/>
      <name val="Calibri"/>
      <family val="2"/>
      <charset val="1"/>
    </font>
    <font>
      <b/>
      <sz val="16"/>
      <color rgb="FFE12D39"/>
      <name val="Calibri"/>
      <family val="2"/>
      <charset val="1"/>
    </font>
    <font>
      <sz val="16"/>
      <color rgb="FF102A43"/>
      <name val="Calibri"/>
      <family val="2"/>
      <charset val="1"/>
    </font>
    <font>
      <sz val="16"/>
      <color rgb="FFFFFFFF"/>
      <name val="Calibri"/>
      <family val="2"/>
      <charset val="1"/>
    </font>
    <font>
      <sz val="12"/>
      <color rgb="FF102A43"/>
      <name val="Calibri"/>
      <family val="2"/>
      <charset val="1"/>
    </font>
    <font>
      <sz val="10"/>
      <color rgb="FF102A43"/>
      <name val="Calibri"/>
      <family val="2"/>
      <charset val="1"/>
    </font>
    <font>
      <sz val="14"/>
      <color rgb="FFFFFFFF"/>
      <name val="Calibri"/>
      <family val="2"/>
      <charset val="1"/>
    </font>
    <font>
      <sz val="10"/>
      <color rgb="FFCC0000"/>
      <name val="Calibri"/>
      <family val="2"/>
      <charset val="1"/>
    </font>
    <font>
      <sz val="12"/>
      <name val="Calibri"/>
      <family val="2"/>
      <charset val="1"/>
    </font>
    <font>
      <sz val="10"/>
      <color rgb="FFFFFFFF"/>
      <name val="Calibri"/>
      <family val="2"/>
      <charset val="1"/>
    </font>
    <font>
      <sz val="12"/>
      <color rgb="FF102A43"/>
      <name val="Calibri"/>
      <family val="2"/>
    </font>
    <font>
      <sz val="12"/>
      <color rgb="FF102A43"/>
      <name val="Noto Sans CJK SC"/>
    </font>
    <font>
      <u/>
      <sz val="10"/>
      <color theme="10"/>
      <name val="Arial"/>
      <family val="2"/>
      <charset val="1"/>
    </font>
    <font>
      <sz val="12"/>
      <color rgb="FF0E0E0E"/>
      <name val="Calibri"/>
      <family val="2"/>
    </font>
    <font>
      <u/>
      <sz val="12"/>
      <color rgb="FF102A43"/>
      <name val="Calibri"/>
      <family val="2"/>
      <charset val="1"/>
    </font>
    <font>
      <sz val="11"/>
      <color rgb="FF242424"/>
      <name val="Aptos Narrow"/>
    </font>
    <font>
      <sz val="12"/>
      <name val="Calibri"/>
      <family val="2"/>
    </font>
    <font>
      <u/>
      <sz val="10"/>
      <color rgb="FF486581"/>
      <name val="Arial"/>
      <family val="2"/>
    </font>
    <font>
      <sz val="12"/>
      <color rgb="FF333333"/>
      <name val="Calibri"/>
      <family val="2"/>
    </font>
    <font>
      <u/>
      <sz val="10"/>
      <color rgb="FF486581"/>
      <name val="Arial"/>
      <family val="2"/>
      <charset val="1"/>
    </font>
    <font>
      <sz val="12"/>
      <color rgb="FF102A43"/>
      <name val="Calibri"/>
    </font>
    <font>
      <sz val="12"/>
      <color rgb="FF242424"/>
      <name val="Calibri"/>
      <family val="2"/>
    </font>
    <font>
      <sz val="12"/>
      <name val="Calibri"/>
    </font>
  </fonts>
  <fills count="9">
    <fill>
      <patternFill patternType="none"/>
    </fill>
    <fill>
      <patternFill patternType="gray125"/>
    </fill>
    <fill>
      <patternFill patternType="solid">
        <fgColor rgb="FF9FB3C8"/>
        <bgColor rgb="FFA4C1FF"/>
      </patternFill>
    </fill>
    <fill>
      <patternFill patternType="solid">
        <fgColor rgb="FF486581"/>
        <bgColor rgb="FF334E68"/>
      </patternFill>
    </fill>
    <fill>
      <patternFill patternType="solid">
        <fgColor rgb="FFF0F4F8"/>
        <bgColor rgb="FFFFFFFF"/>
      </patternFill>
    </fill>
    <fill>
      <patternFill patternType="solid">
        <fgColor rgb="FFC7EA8F"/>
        <bgColor rgb="FFD9D9D9"/>
      </patternFill>
    </fill>
    <fill>
      <patternFill patternType="solid">
        <fgColor rgb="FFFAFA6A"/>
        <bgColor rgb="FFC7EA8F"/>
      </patternFill>
    </fill>
    <fill>
      <patternFill patternType="solid">
        <fgColor rgb="FF87EAF2"/>
        <bgColor rgb="FF99CCFF"/>
      </patternFill>
    </fill>
    <fill>
      <patternFill patternType="solid">
        <fgColor rgb="FFFFFFFF"/>
        <bgColor rgb="FFF0F4F8"/>
      </patternFill>
    </fill>
  </fills>
  <borders count="49">
    <border>
      <left/>
      <right/>
      <top/>
      <bottom/>
      <diagonal/>
    </border>
    <border>
      <left/>
      <right/>
      <top style="thin">
        <color rgb="FF334E68"/>
      </top>
      <bottom style="thin">
        <color rgb="FF334E68"/>
      </bottom>
      <diagonal/>
    </border>
    <border>
      <left style="thin">
        <color rgb="FFBCCCDC"/>
      </left>
      <right style="thin">
        <color rgb="FFBCCCDC"/>
      </right>
      <top/>
      <bottom style="thin">
        <color rgb="FFBCCCDC"/>
      </bottom>
      <diagonal/>
    </border>
    <border>
      <left/>
      <right style="thin">
        <color rgb="FF334E68"/>
      </right>
      <top style="thin">
        <color rgb="FF334E68"/>
      </top>
      <bottom style="thin">
        <color rgb="FF334E68"/>
      </bottom>
      <diagonal/>
    </border>
    <border>
      <left style="thin">
        <color rgb="FF334E68"/>
      </left>
      <right style="thin">
        <color rgb="FFBCCCDC"/>
      </right>
      <top style="thin">
        <color rgb="FFBCCCDC"/>
      </top>
      <bottom style="thin">
        <color rgb="FFBCCCDC"/>
      </bottom>
      <diagonal/>
    </border>
    <border>
      <left style="thin">
        <color rgb="FFBCCCDC"/>
      </left>
      <right style="thin">
        <color rgb="FFBCCCDC"/>
      </right>
      <top style="thin">
        <color rgb="FFBCCCDC"/>
      </top>
      <bottom style="thin">
        <color rgb="FFBCCCDC"/>
      </bottom>
      <diagonal/>
    </border>
    <border>
      <left/>
      <right style="medium">
        <color rgb="FF334E68"/>
      </right>
      <top/>
      <bottom style="medium">
        <color rgb="FF334E68"/>
      </bottom>
      <diagonal/>
    </border>
    <border>
      <left style="medium">
        <color rgb="FF334E68"/>
      </left>
      <right style="medium">
        <color rgb="FF334E68"/>
      </right>
      <top/>
      <bottom style="medium">
        <color rgb="FF334E68"/>
      </bottom>
      <diagonal/>
    </border>
    <border>
      <left/>
      <right style="medium">
        <color rgb="FF334E68"/>
      </right>
      <top style="medium">
        <color rgb="FF334E68"/>
      </top>
      <bottom style="medium">
        <color rgb="FF334E68"/>
      </bottom>
      <diagonal/>
    </border>
    <border>
      <left style="medium">
        <color rgb="FF334E68"/>
      </left>
      <right style="medium">
        <color rgb="FF334E68"/>
      </right>
      <top style="medium">
        <color rgb="FF334E68"/>
      </top>
      <bottom style="medium">
        <color rgb="FF334E68"/>
      </bottom>
      <diagonal/>
    </border>
    <border>
      <left/>
      <right style="thin">
        <color rgb="FFBCCCDC"/>
      </right>
      <top/>
      <bottom style="thin">
        <color rgb="FFBCCCDC"/>
      </bottom>
      <diagonal/>
    </border>
    <border>
      <left style="thin">
        <color rgb="FFBCCCDC"/>
      </left>
      <right style="medium">
        <color rgb="FF243B53"/>
      </right>
      <top/>
      <bottom style="thin">
        <color rgb="FFBCCCDC"/>
      </bottom>
      <diagonal/>
    </border>
    <border>
      <left/>
      <right style="thin">
        <color rgb="FFBCCCDC"/>
      </right>
      <top style="thin">
        <color rgb="FFBCCCDC"/>
      </top>
      <bottom style="thin">
        <color rgb="FFBCCCDC"/>
      </bottom>
      <diagonal/>
    </border>
    <border>
      <left style="thin">
        <color rgb="FFBCCCDC"/>
      </left>
      <right style="medium">
        <color rgb="FF243B53"/>
      </right>
      <top style="thin">
        <color rgb="FFBCCCDC"/>
      </top>
      <bottom style="thin">
        <color rgb="FFBCCCDC"/>
      </bottom>
      <diagonal/>
    </border>
    <border>
      <left/>
      <right style="thin">
        <color rgb="FFBCCCDC"/>
      </right>
      <top style="thin">
        <color rgb="FFBCCCDC"/>
      </top>
      <bottom style="medium">
        <color rgb="FF243B53"/>
      </bottom>
      <diagonal/>
    </border>
    <border>
      <left style="thin">
        <color rgb="FFBCCCDC"/>
      </left>
      <right style="thin">
        <color rgb="FFBCCCDC"/>
      </right>
      <top style="thin">
        <color rgb="FFBCCCDC"/>
      </top>
      <bottom style="medium">
        <color rgb="FF243B53"/>
      </bottom>
      <diagonal/>
    </border>
    <border>
      <left style="thin">
        <color rgb="FFBCCCDC"/>
      </left>
      <right style="medium">
        <color rgb="FF243B53"/>
      </right>
      <top style="thin">
        <color rgb="FFBCCCDC"/>
      </top>
      <bottom style="medium">
        <color rgb="FF243B53"/>
      </bottom>
      <diagonal/>
    </border>
    <border>
      <left/>
      <right style="medium">
        <color rgb="FF243B53"/>
      </right>
      <top/>
      <bottom style="medium">
        <color rgb="FF243B53"/>
      </bottom>
      <diagonal/>
    </border>
    <border>
      <left style="medium">
        <color rgb="FF243B53"/>
      </left>
      <right style="medium">
        <color rgb="FF243B53"/>
      </right>
      <top style="hair">
        <color auto="1"/>
      </top>
      <bottom style="medium">
        <color rgb="FF243B53"/>
      </bottom>
      <diagonal/>
    </border>
    <border>
      <left/>
      <right style="medium">
        <color rgb="FF243B53"/>
      </right>
      <top style="medium">
        <color rgb="FF243B53"/>
      </top>
      <bottom style="medium">
        <color rgb="FF243B53"/>
      </bottom>
      <diagonal/>
    </border>
    <border>
      <left style="medium">
        <color rgb="FF243B53"/>
      </left>
      <right style="medium">
        <color rgb="FF243B53"/>
      </right>
      <top style="medium">
        <color rgb="FF243B53"/>
      </top>
      <bottom style="medium">
        <color rgb="FF243B53"/>
      </bottom>
      <diagonal/>
    </border>
    <border>
      <left style="medium">
        <color rgb="FF243B53"/>
      </left>
      <right style="thin">
        <color rgb="FFBCCCDC"/>
      </right>
      <top style="medium">
        <color rgb="FF243B53"/>
      </top>
      <bottom style="thin">
        <color rgb="FFBCCCDC"/>
      </bottom>
      <diagonal/>
    </border>
    <border>
      <left/>
      <right style="thin">
        <color rgb="FFBCCCDC"/>
      </right>
      <top style="medium">
        <color rgb="FF243B53"/>
      </top>
      <bottom style="thin">
        <color rgb="FFBCCCDC"/>
      </bottom>
      <diagonal/>
    </border>
    <border>
      <left style="thin">
        <color rgb="FFBCCCDC"/>
      </left>
      <right style="thin">
        <color rgb="FFBCCCDC"/>
      </right>
      <top style="medium">
        <color rgb="FF243B53"/>
      </top>
      <bottom style="thin">
        <color rgb="FFBCCCDC"/>
      </bottom>
      <diagonal/>
    </border>
    <border>
      <left style="thin">
        <color rgb="FFBCCCDC"/>
      </left>
      <right style="medium">
        <color rgb="FF243B53"/>
      </right>
      <top style="medium">
        <color rgb="FF243B53"/>
      </top>
      <bottom style="thin">
        <color rgb="FFBCCCDC"/>
      </bottom>
      <diagonal/>
    </border>
    <border>
      <left style="medium">
        <color rgb="FF243B53"/>
      </left>
      <right style="thin">
        <color rgb="FFBCCCDC"/>
      </right>
      <top style="thin">
        <color rgb="FFBCCCDC"/>
      </top>
      <bottom style="thin">
        <color rgb="FFBCCCDC"/>
      </bottom>
      <diagonal/>
    </border>
    <border>
      <left style="medium">
        <color rgb="FF243B53"/>
      </left>
      <right style="thin">
        <color rgb="FFBCCCDC"/>
      </right>
      <top style="thin">
        <color rgb="FFBCCCDC"/>
      </top>
      <bottom style="medium">
        <color rgb="FF243B53"/>
      </bottom>
      <diagonal/>
    </border>
    <border>
      <left style="medium">
        <color rgb="FF243B53"/>
      </left>
      <right style="medium">
        <color rgb="FF243B53"/>
      </right>
      <top/>
      <bottom style="medium">
        <color rgb="FF243B53"/>
      </bottom>
      <diagonal/>
    </border>
    <border>
      <left/>
      <right style="medium">
        <color auto="1"/>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rgb="FF243B53"/>
      </left>
      <right style="thin">
        <color rgb="FFBCCCDC"/>
      </right>
      <top style="medium">
        <color auto="1"/>
      </top>
      <bottom style="thin">
        <color rgb="FFBCCCDC"/>
      </bottom>
      <diagonal/>
    </border>
    <border>
      <left style="thin">
        <color rgb="FFBCCCDC"/>
      </left>
      <right style="thin">
        <color rgb="FFBCCCDC"/>
      </right>
      <top style="medium">
        <color auto="1"/>
      </top>
      <bottom style="thin">
        <color rgb="FFBCCCDC"/>
      </bottom>
      <diagonal/>
    </border>
    <border>
      <left style="thin">
        <color rgb="FFBCCCDC"/>
      </left>
      <right style="medium">
        <color rgb="FF243B53"/>
      </right>
      <top style="medium">
        <color auto="1"/>
      </top>
      <bottom style="thin">
        <color rgb="FFBCCCDC"/>
      </bottom>
      <diagonal/>
    </border>
    <border>
      <left style="hair">
        <color auto="1"/>
      </left>
      <right style="medium">
        <color rgb="FF243B53"/>
      </right>
      <top/>
      <bottom style="medium">
        <color rgb="FF243B53"/>
      </bottom>
      <diagonal/>
    </border>
    <border>
      <left/>
      <right style="medium">
        <color auto="1"/>
      </right>
      <top/>
      <bottom style="medium">
        <color auto="1"/>
      </bottom>
      <diagonal/>
    </border>
    <border>
      <left/>
      <right style="medium">
        <color rgb="FF243B53"/>
      </right>
      <top style="medium">
        <color auto="1"/>
      </top>
      <bottom style="medium">
        <color rgb="FF243B53"/>
      </bottom>
      <diagonal/>
    </border>
    <border>
      <left style="medium">
        <color rgb="FF243B53"/>
      </left>
      <right style="medium">
        <color rgb="FF243B53"/>
      </right>
      <top style="medium">
        <color auto="1"/>
      </top>
      <bottom style="medium">
        <color rgb="FF243B53"/>
      </bottom>
      <diagonal/>
    </border>
    <border>
      <left style="medium">
        <color rgb="FF243B53"/>
      </left>
      <right/>
      <top style="medium">
        <color auto="1"/>
      </top>
      <bottom style="thin">
        <color rgb="FFBCCCDC"/>
      </bottom>
      <diagonal/>
    </border>
    <border>
      <left/>
      <right/>
      <top style="medium">
        <color auto="1"/>
      </top>
      <bottom style="thin">
        <color rgb="FFBCCCDC"/>
      </bottom>
      <diagonal/>
    </border>
    <border>
      <left/>
      <right style="medium">
        <color rgb="FF243B53"/>
      </right>
      <top style="medium">
        <color auto="1"/>
      </top>
      <bottom style="thin">
        <color rgb="FFBCCCDC"/>
      </bottom>
      <diagonal/>
    </border>
    <border>
      <left style="medium">
        <color rgb="FF243B53"/>
      </left>
      <right/>
      <top style="thin">
        <color rgb="FFBCCCDC"/>
      </top>
      <bottom style="thin">
        <color rgb="FFBCCCDC"/>
      </bottom>
      <diagonal/>
    </border>
    <border>
      <left/>
      <right/>
      <top style="thin">
        <color rgb="FFBCCCDC"/>
      </top>
      <bottom style="thin">
        <color rgb="FFBCCCDC"/>
      </bottom>
      <diagonal/>
    </border>
    <border>
      <left/>
      <right style="medium">
        <color rgb="FF243B53"/>
      </right>
      <top style="thin">
        <color rgb="FFBCCCDC"/>
      </top>
      <bottom style="thin">
        <color rgb="FFBCCCDC"/>
      </bottom>
      <diagonal/>
    </border>
    <border>
      <left style="medium">
        <color rgb="FF243B53"/>
      </left>
      <right/>
      <top style="thin">
        <color rgb="FFBCCCDC"/>
      </top>
      <bottom style="medium">
        <color rgb="FF243B53"/>
      </bottom>
      <diagonal/>
    </border>
    <border>
      <left/>
      <right/>
      <top style="thin">
        <color rgb="FFBCCCDC"/>
      </top>
      <bottom style="medium">
        <color rgb="FF243B53"/>
      </bottom>
      <diagonal/>
    </border>
    <border>
      <left/>
      <right style="medium">
        <color rgb="FF243B53"/>
      </right>
      <top style="thin">
        <color rgb="FFBCCCDC"/>
      </top>
      <bottom style="medium">
        <color rgb="FF243B53"/>
      </bottom>
      <diagonal/>
    </border>
    <border>
      <left/>
      <right style="medium">
        <color rgb="FF243B53"/>
      </right>
      <top style="medium">
        <color rgb="FF243B53"/>
      </top>
      <bottom/>
      <diagonal/>
    </border>
    <border>
      <left/>
      <right style="medium">
        <color rgb="FF243B53"/>
      </right>
      <top/>
      <bottom/>
      <diagonal/>
    </border>
  </borders>
  <cellStyleXfs count="3">
    <xf numFmtId="0" fontId="0" fillId="0" borderId="0"/>
    <xf numFmtId="0" fontId="14" fillId="0" borderId="0" applyNumberFormat="0" applyFill="0" applyBorder="0" applyAlignment="0" applyProtection="0"/>
    <xf numFmtId="0" fontId="14" fillId="0" borderId="0" applyNumberFormat="0" applyFill="0" applyBorder="0" applyAlignment="0" applyProtection="0"/>
  </cellStyleXfs>
  <cellXfs count="163">
    <xf numFmtId="0" fontId="0" fillId="0" borderId="0" xfId="0"/>
    <xf numFmtId="0" fontId="4" fillId="2" borderId="8" xfId="0" applyFont="1" applyFill="1" applyBorder="1" applyAlignment="1">
      <alignment vertical="center" wrapText="1"/>
    </xf>
    <xf numFmtId="0" fontId="4" fillId="2" borderId="19" xfId="0" applyFont="1" applyFill="1" applyBorder="1" applyAlignment="1">
      <alignment horizontal="center" vertical="center" wrapText="1"/>
    </xf>
    <xf numFmtId="0" fontId="1" fillId="0" borderId="0" xfId="0" applyFont="1"/>
    <xf numFmtId="0" fontId="2" fillId="0" borderId="0" xfId="0" applyFont="1"/>
    <xf numFmtId="0" fontId="3" fillId="2" borderId="1" xfId="0" applyFont="1" applyFill="1" applyBorder="1" applyAlignment="1">
      <alignment horizontal="center" wrapText="1"/>
    </xf>
    <xf numFmtId="0" fontId="4" fillId="2" borderId="2" xfId="0" applyFont="1" applyFill="1" applyBorder="1" applyAlignment="1">
      <alignment horizontal="center" wrapText="1"/>
    </xf>
    <xf numFmtId="0" fontId="5" fillId="0" borderId="0" xfId="0" applyFont="1" applyAlignment="1">
      <alignment horizontal="center" wrapText="1"/>
    </xf>
    <xf numFmtId="0" fontId="5" fillId="3" borderId="3" xfId="0" applyFont="1" applyFill="1" applyBorder="1"/>
    <xf numFmtId="0" fontId="6" fillId="4" borderId="4" xfId="0" applyFont="1" applyFill="1" applyBorder="1" applyAlignment="1">
      <alignment horizontal="center" wrapText="1"/>
    </xf>
    <xf numFmtId="0" fontId="6" fillId="4" borderId="5" xfId="0" applyFont="1" applyFill="1" applyBorder="1" applyAlignment="1">
      <alignment horizontal="center" wrapText="1"/>
    </xf>
    <xf numFmtId="164" fontId="6" fillId="4" borderId="5" xfId="0" applyNumberFormat="1" applyFont="1" applyFill="1" applyBorder="1" applyAlignment="1">
      <alignment horizontal="center" wrapText="1"/>
    </xf>
    <xf numFmtId="0" fontId="7" fillId="4" borderId="5" xfId="0" applyFont="1" applyFill="1" applyBorder="1"/>
    <xf numFmtId="0" fontId="8" fillId="0" borderId="0" xfId="0" applyFont="1" applyAlignment="1">
      <alignment horizontal="center" wrapText="1"/>
    </xf>
    <xf numFmtId="0" fontId="9" fillId="0" borderId="0" xfId="0" applyFont="1"/>
    <xf numFmtId="0" fontId="10" fillId="0" borderId="0" xfId="0" applyFont="1"/>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7" xfId="0" applyFont="1" applyFill="1" applyBorder="1" applyAlignment="1">
      <alignment horizontal="center" vertical="center" wrapText="1"/>
    </xf>
    <xf numFmtId="0" fontId="6" fillId="2" borderId="9" xfId="0" applyFont="1" applyFill="1" applyBorder="1" applyAlignment="1">
      <alignment horizontal="center" vertical="center"/>
    </xf>
    <xf numFmtId="0" fontId="6" fillId="5" borderId="10" xfId="0" applyFont="1" applyFill="1"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xf numFmtId="0" fontId="6" fillId="0" borderId="2" xfId="0" applyFont="1" applyBorder="1" applyAlignment="1">
      <alignment horizontal="left" vertical="center" wrapText="1"/>
    </xf>
    <xf numFmtId="0" fontId="6" fillId="0" borderId="11" xfId="0" applyFont="1" applyBorder="1" applyAlignment="1">
      <alignment wrapText="1"/>
    </xf>
    <xf numFmtId="0" fontId="6" fillId="0" borderId="0" xfId="0" applyFont="1"/>
    <xf numFmtId="0" fontId="6" fillId="5" borderId="12" xfId="0" applyFont="1" applyFill="1" applyBorder="1" applyAlignment="1">
      <alignment horizontal="center" vertical="center"/>
    </xf>
    <xf numFmtId="0" fontId="6" fillId="0" borderId="5" xfId="0" applyFont="1" applyBorder="1" applyAlignment="1">
      <alignment horizontal="center" vertical="center" wrapText="1"/>
    </xf>
    <xf numFmtId="0" fontId="6" fillId="0" borderId="5" xfId="0" applyFont="1" applyBorder="1"/>
    <xf numFmtId="0" fontId="6" fillId="0" borderId="5" xfId="0" applyFont="1" applyBorder="1" applyAlignment="1">
      <alignment horizontal="left" vertical="center" wrapText="1"/>
    </xf>
    <xf numFmtId="0" fontId="6" fillId="0" borderId="5" xfId="0" applyFont="1" applyBorder="1" applyAlignment="1">
      <alignment wrapText="1"/>
    </xf>
    <xf numFmtId="0" fontId="6" fillId="0" borderId="13" xfId="0" applyFont="1" applyBorder="1" applyAlignment="1">
      <alignment wrapText="1"/>
    </xf>
    <xf numFmtId="0" fontId="6" fillId="0" borderId="13" xfId="0" applyFont="1" applyBorder="1"/>
    <xf numFmtId="0" fontId="6" fillId="5" borderId="14" xfId="0" applyFont="1" applyFill="1" applyBorder="1" applyAlignment="1">
      <alignment horizontal="center" vertical="center"/>
    </xf>
    <xf numFmtId="0" fontId="6" fillId="0" borderId="15" xfId="0" applyFont="1" applyBorder="1" applyAlignment="1">
      <alignment horizontal="center" vertical="center" wrapText="1"/>
    </xf>
    <xf numFmtId="0" fontId="6" fillId="0" borderId="15" xfId="0" applyFont="1" applyBorder="1"/>
    <xf numFmtId="0" fontId="6" fillId="0" borderId="15" xfId="0" applyFont="1" applyBorder="1" applyAlignment="1">
      <alignment horizontal="left" vertical="center" wrapText="1"/>
    </xf>
    <xf numFmtId="0" fontId="6" fillId="0" borderId="16" xfId="0" applyFont="1" applyBorder="1"/>
    <xf numFmtId="0" fontId="10" fillId="0" borderId="0" xfId="0" applyFont="1" applyAlignment="1">
      <alignment wrapText="1"/>
    </xf>
    <xf numFmtId="0" fontId="10" fillId="0" borderId="0" xfId="0" applyFont="1" applyAlignment="1">
      <alignment horizontal="center" wrapText="1"/>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wrapText="1"/>
    </xf>
    <xf numFmtId="0" fontId="5" fillId="3" borderId="18" xfId="0" applyFont="1" applyFill="1" applyBorder="1" applyAlignment="1">
      <alignment horizontal="center" vertical="center"/>
    </xf>
    <xf numFmtId="0" fontId="5" fillId="0" borderId="0" xfId="0" applyFont="1" applyAlignment="1">
      <alignment horizontal="center" vertical="center"/>
    </xf>
    <xf numFmtId="0" fontId="6" fillId="2" borderId="20" xfId="0" applyFont="1" applyFill="1" applyBorder="1" applyAlignment="1">
      <alignment horizontal="center" vertical="center" wrapText="1"/>
    </xf>
    <xf numFmtId="0" fontId="6" fillId="6" borderId="21" xfId="0" applyFont="1" applyFill="1" applyBorder="1" applyAlignment="1">
      <alignment horizontal="center" vertical="center" wrapText="1"/>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3" xfId="0" applyFont="1" applyBorder="1" applyAlignment="1">
      <alignment horizontal="left" vertical="center" wrapText="1"/>
    </xf>
    <xf numFmtId="0" fontId="6" fillId="0" borderId="23" xfId="0" applyFont="1" applyBorder="1"/>
    <xf numFmtId="0" fontId="6" fillId="0" borderId="23" xfId="0" applyFont="1" applyBorder="1" applyAlignment="1">
      <alignment wrapText="1"/>
    </xf>
    <xf numFmtId="0" fontId="6" fillId="0" borderId="24" xfId="0" applyFont="1" applyBorder="1" applyAlignment="1">
      <alignment wrapText="1"/>
    </xf>
    <xf numFmtId="0" fontId="6" fillId="6" borderId="25" xfId="0" applyFont="1" applyFill="1" applyBorder="1" applyAlignment="1">
      <alignment horizontal="center" vertical="center" wrapText="1"/>
    </xf>
    <xf numFmtId="0" fontId="6" fillId="0" borderId="12" xfId="0" applyFont="1" applyBorder="1" applyAlignment="1">
      <alignment horizontal="center" vertical="center" wrapText="1"/>
    </xf>
    <xf numFmtId="0" fontId="6" fillId="7" borderId="25" xfId="0" applyFont="1" applyFill="1" applyBorder="1" applyAlignment="1">
      <alignment horizontal="center" vertical="center" wrapText="1"/>
    </xf>
    <xf numFmtId="0" fontId="6" fillId="5" borderId="25" xfId="0" applyFont="1" applyFill="1" applyBorder="1" applyAlignment="1">
      <alignment horizontal="center" vertical="center" wrapText="1"/>
    </xf>
    <xf numFmtId="0" fontId="6" fillId="5" borderId="26" xfId="0" applyFont="1" applyFill="1" applyBorder="1" applyAlignment="1">
      <alignment horizontal="center" vertical="center" wrapText="1"/>
    </xf>
    <xf numFmtId="0" fontId="6" fillId="0" borderId="14" xfId="0" applyFont="1" applyBorder="1" applyAlignment="1">
      <alignment horizontal="center" vertical="center" wrapText="1"/>
    </xf>
    <xf numFmtId="0" fontId="4" fillId="0" borderId="0" xfId="0" applyFont="1" applyAlignment="1">
      <alignment vertical="center" wrapText="1"/>
    </xf>
    <xf numFmtId="0" fontId="6" fillId="0" borderId="0" xfId="0" applyFont="1" applyAlignment="1">
      <alignment horizontal="center" wrapText="1"/>
    </xf>
    <xf numFmtId="0" fontId="5" fillId="3" borderId="27" xfId="0" applyFont="1" applyFill="1" applyBorder="1" applyAlignment="1">
      <alignment horizontal="center" vertical="center" wrapText="1"/>
    </xf>
    <xf numFmtId="0" fontId="5" fillId="3" borderId="27" xfId="0" applyFont="1" applyFill="1" applyBorder="1" applyAlignment="1">
      <alignment horizontal="center" vertical="center"/>
    </xf>
    <xf numFmtId="0" fontId="6" fillId="2" borderId="20" xfId="0" applyFont="1" applyFill="1" applyBorder="1" applyAlignment="1">
      <alignment horizontal="center" vertical="center"/>
    </xf>
    <xf numFmtId="0" fontId="6" fillId="6" borderId="21" xfId="0" applyFont="1" applyFill="1" applyBorder="1" applyAlignment="1">
      <alignment horizontal="center" vertical="center"/>
    </xf>
    <xf numFmtId="0" fontId="6" fillId="0" borderId="23" xfId="0" applyFont="1" applyBorder="1" applyAlignment="1">
      <alignment horizontal="center" vertical="center"/>
    </xf>
    <xf numFmtId="0" fontId="6" fillId="0" borderId="24" xfId="0" applyFont="1" applyBorder="1"/>
    <xf numFmtId="0" fontId="6" fillId="6" borderId="25" xfId="0" applyFont="1" applyFill="1" applyBorder="1" applyAlignment="1">
      <alignment horizontal="center" vertical="center"/>
    </xf>
    <xf numFmtId="0" fontId="6" fillId="0" borderId="5" xfId="0" applyFont="1" applyBorder="1" applyAlignment="1">
      <alignment horizontal="center" vertical="center"/>
    </xf>
    <xf numFmtId="0" fontId="6" fillId="5" borderId="25" xfId="0" applyFont="1" applyFill="1" applyBorder="1" applyAlignment="1">
      <alignment horizontal="center" vertical="center"/>
    </xf>
    <xf numFmtId="0" fontId="6" fillId="7" borderId="25" xfId="0" applyFont="1" applyFill="1" applyBorder="1" applyAlignment="1">
      <alignment horizontal="center" vertical="center"/>
    </xf>
    <xf numFmtId="0" fontId="6" fillId="6" borderId="26" xfId="0" applyFont="1" applyFill="1" applyBorder="1" applyAlignment="1">
      <alignment horizontal="center" vertical="center"/>
    </xf>
    <xf numFmtId="0" fontId="6" fillId="0" borderId="15" xfId="0" applyFont="1" applyBorder="1" applyAlignment="1">
      <alignment horizontal="center" vertical="center"/>
    </xf>
    <xf numFmtId="0" fontId="4" fillId="0" borderId="0" xfId="0" applyFont="1"/>
    <xf numFmtId="0" fontId="7" fillId="0" borderId="0" xfId="0" applyFont="1"/>
    <xf numFmtId="0" fontId="8" fillId="3" borderId="27" xfId="0" applyFont="1" applyFill="1" applyBorder="1" applyAlignment="1">
      <alignment horizontal="center" vertical="center"/>
    </xf>
    <xf numFmtId="0" fontId="8" fillId="3" borderId="27" xfId="0" applyFont="1" applyFill="1" applyBorder="1" applyAlignment="1">
      <alignment horizontal="center" vertical="center" wrapText="1"/>
    </xf>
    <xf numFmtId="0" fontId="11" fillId="0" borderId="0" xfId="0" applyFont="1" applyAlignment="1">
      <alignment horizontal="center" vertical="center"/>
    </xf>
    <xf numFmtId="0" fontId="7" fillId="2" borderId="20" xfId="0" applyFont="1" applyFill="1" applyBorder="1" applyAlignment="1">
      <alignment horizontal="center" vertical="center"/>
    </xf>
    <xf numFmtId="0" fontId="6" fillId="5" borderId="26" xfId="0" applyFont="1" applyFill="1" applyBorder="1" applyAlignment="1">
      <alignment horizontal="center" vertical="center"/>
    </xf>
    <xf numFmtId="0" fontId="6" fillId="0" borderId="23" xfId="0" applyFont="1" applyBorder="1" applyAlignment="1">
      <alignment horizontal="left" wrapText="1"/>
    </xf>
    <xf numFmtId="0" fontId="6" fillId="0" borderId="5" xfId="0" applyFont="1" applyBorder="1" applyAlignment="1">
      <alignment horizontal="left" wrapText="1"/>
    </xf>
    <xf numFmtId="0" fontId="6" fillId="0" borderId="15" xfId="0" applyFont="1" applyBorder="1" applyAlignment="1">
      <alignment horizontal="left" wrapText="1"/>
    </xf>
    <xf numFmtId="0" fontId="6" fillId="5" borderId="21" xfId="0" applyFont="1" applyFill="1" applyBorder="1" applyAlignment="1">
      <alignment horizontal="center" vertical="center"/>
    </xf>
    <xf numFmtId="0" fontId="5" fillId="3" borderId="28" xfId="0" applyFont="1" applyFill="1" applyBorder="1" applyAlignment="1">
      <alignment horizontal="center" vertical="center"/>
    </xf>
    <xf numFmtId="0" fontId="5" fillId="3" borderId="29" xfId="0" applyFont="1" applyFill="1" applyBorder="1" applyAlignment="1">
      <alignment horizontal="center" vertical="center"/>
    </xf>
    <xf numFmtId="0" fontId="5" fillId="3" borderId="30" xfId="0" applyFont="1" applyFill="1" applyBorder="1" applyAlignment="1">
      <alignment horizontal="center" vertical="center" wrapText="1"/>
    </xf>
    <xf numFmtId="0" fontId="5" fillId="3" borderId="30" xfId="0" applyFont="1" applyFill="1" applyBorder="1" applyAlignment="1">
      <alignment horizontal="center" vertical="center"/>
    </xf>
    <xf numFmtId="0" fontId="5" fillId="8" borderId="0" xfId="0" applyFont="1" applyFill="1" applyAlignment="1">
      <alignment horizontal="center" vertical="center"/>
    </xf>
    <xf numFmtId="0" fontId="6" fillId="6" borderId="31" xfId="0" applyFont="1" applyFill="1" applyBorder="1" applyAlignment="1">
      <alignment horizontal="center" vertical="center"/>
    </xf>
    <xf numFmtId="0" fontId="6" fillId="0" borderId="32" xfId="0" applyFont="1" applyBorder="1" applyAlignment="1">
      <alignment horizontal="center" vertical="center" wrapText="1"/>
    </xf>
    <xf numFmtId="0" fontId="6" fillId="0" borderId="32" xfId="0" applyFont="1" applyBorder="1" applyAlignment="1">
      <alignment horizontal="center" vertical="center"/>
    </xf>
    <xf numFmtId="0" fontId="6" fillId="0" borderId="32" xfId="0" applyFont="1" applyBorder="1" applyAlignment="1">
      <alignment horizontal="left" wrapText="1"/>
    </xf>
    <xf numFmtId="0" fontId="6" fillId="0" borderId="32" xfId="0" applyFont="1" applyBorder="1"/>
    <xf numFmtId="0" fontId="6" fillId="0" borderId="33" xfId="0" applyFont="1" applyBorder="1"/>
    <xf numFmtId="0" fontId="5" fillId="3" borderId="17" xfId="0" applyFont="1" applyFill="1" applyBorder="1" applyAlignment="1">
      <alignment horizontal="center" vertical="center" wrapText="1"/>
    </xf>
    <xf numFmtId="0" fontId="6" fillId="7" borderId="26" xfId="0" applyFont="1" applyFill="1" applyBorder="1" applyAlignment="1">
      <alignment horizontal="center" vertical="center"/>
    </xf>
    <xf numFmtId="0" fontId="5" fillId="3" borderId="34" xfId="0" applyFont="1" applyFill="1" applyBorder="1" applyAlignment="1">
      <alignment horizontal="center" vertical="center" wrapText="1"/>
    </xf>
    <xf numFmtId="0" fontId="6" fillId="7" borderId="21" xfId="0" applyFont="1" applyFill="1" applyBorder="1" applyAlignment="1">
      <alignment horizontal="center" vertical="center"/>
    </xf>
    <xf numFmtId="0" fontId="5" fillId="3" borderId="35" xfId="0" applyFont="1" applyFill="1" applyBorder="1" applyAlignment="1">
      <alignment horizontal="center" vertical="center" wrapText="1"/>
    </xf>
    <xf numFmtId="0" fontId="6" fillId="2" borderId="37" xfId="0" applyFont="1" applyFill="1" applyBorder="1" applyAlignment="1">
      <alignment horizontal="center" vertical="center"/>
    </xf>
    <xf numFmtId="0" fontId="6" fillId="5" borderId="38" xfId="0" applyFont="1" applyFill="1" applyBorder="1" applyAlignment="1">
      <alignment horizontal="center" vertical="center"/>
    </xf>
    <xf numFmtId="0" fontId="6" fillId="0" borderId="39" xfId="0" applyFont="1" applyBorder="1" applyAlignment="1">
      <alignment horizontal="center" vertical="center" wrapText="1"/>
    </xf>
    <xf numFmtId="0" fontId="6" fillId="0" borderId="39" xfId="0" applyFont="1" applyBorder="1" applyAlignment="1">
      <alignment horizontal="center" vertical="center"/>
    </xf>
    <xf numFmtId="0" fontId="6" fillId="0" borderId="39" xfId="0" applyFont="1" applyBorder="1" applyAlignment="1">
      <alignment horizontal="left" wrapText="1"/>
    </xf>
    <xf numFmtId="0" fontId="6" fillId="0" borderId="39" xfId="0" applyFont="1" applyBorder="1"/>
    <xf numFmtId="0" fontId="6" fillId="0" borderId="40" xfId="0" applyFont="1" applyBorder="1"/>
    <xf numFmtId="0" fontId="6" fillId="5" borderId="41" xfId="0" applyFont="1" applyFill="1" applyBorder="1" applyAlignment="1">
      <alignment horizontal="center" vertical="center"/>
    </xf>
    <xf numFmtId="0" fontId="6" fillId="0" borderId="42" xfId="0" applyFont="1" applyBorder="1" applyAlignment="1">
      <alignment horizontal="center" vertical="center" wrapText="1"/>
    </xf>
    <xf numFmtId="0" fontId="6" fillId="0" borderId="42" xfId="0" applyFont="1" applyBorder="1" applyAlignment="1">
      <alignment horizontal="center" vertical="center"/>
    </xf>
    <xf numFmtId="0" fontId="6" fillId="0" borderId="42" xfId="0" applyFont="1" applyBorder="1" applyAlignment="1">
      <alignment horizontal="left" wrapText="1"/>
    </xf>
    <xf numFmtId="0" fontId="6" fillId="0" borderId="42" xfId="0" applyFont="1" applyBorder="1"/>
    <xf numFmtId="0" fontId="6" fillId="0" borderId="43" xfId="0" applyFont="1" applyBorder="1"/>
    <xf numFmtId="0" fontId="6" fillId="7" borderId="41" xfId="0" applyFont="1" applyFill="1" applyBorder="1" applyAlignment="1">
      <alignment horizontal="center" vertical="center"/>
    </xf>
    <xf numFmtId="0" fontId="6" fillId="6" borderId="41" xfId="0" applyFont="1" applyFill="1" applyBorder="1" applyAlignment="1">
      <alignment horizontal="center" vertical="center"/>
    </xf>
    <xf numFmtId="0" fontId="6" fillId="5" borderId="44" xfId="0" applyFont="1" applyFill="1" applyBorder="1" applyAlignment="1">
      <alignment horizontal="center" vertical="center"/>
    </xf>
    <xf numFmtId="0" fontId="6" fillId="0" borderId="45" xfId="0" applyFont="1" applyBorder="1" applyAlignment="1">
      <alignment horizontal="center" vertical="center" wrapText="1"/>
    </xf>
    <xf numFmtId="0" fontId="6" fillId="0" borderId="45" xfId="0" applyFont="1" applyBorder="1" applyAlignment="1">
      <alignment horizontal="center" vertical="center"/>
    </xf>
    <xf numFmtId="0" fontId="6" fillId="0" borderId="45" xfId="0" applyFont="1" applyBorder="1" applyAlignment="1">
      <alignment horizontal="left" wrapText="1"/>
    </xf>
    <xf numFmtId="0" fontId="6" fillId="0" borderId="45" xfId="0" applyFont="1" applyBorder="1"/>
    <xf numFmtId="0" fontId="6" fillId="0" borderId="46" xfId="0" applyFont="1" applyBorder="1"/>
    <xf numFmtId="0" fontId="12" fillId="0" borderId="5" xfId="0" applyFont="1" applyBorder="1"/>
    <xf numFmtId="0" fontId="12" fillId="0" borderId="2" xfId="0" applyFont="1" applyBorder="1" applyAlignment="1">
      <alignment wrapText="1"/>
    </xf>
    <xf numFmtId="0" fontId="12" fillId="0" borderId="10" xfId="0" applyFont="1" applyBorder="1" applyAlignment="1">
      <alignment wrapText="1"/>
    </xf>
    <xf numFmtId="0" fontId="14" fillId="0" borderId="5" xfId="1" applyBorder="1" applyAlignment="1">
      <alignment wrapText="1"/>
    </xf>
    <xf numFmtId="0" fontId="14" fillId="0" borderId="5" xfId="1" applyBorder="1"/>
    <xf numFmtId="0" fontId="14" fillId="0" borderId="2" xfId="1" applyBorder="1" applyAlignment="1">
      <alignment wrapText="1"/>
    </xf>
    <xf numFmtId="0" fontId="6" fillId="0" borderId="0" xfId="0" applyFont="1" applyAlignment="1">
      <alignment wrapText="1"/>
    </xf>
    <xf numFmtId="0" fontId="12" fillId="0" borderId="5" xfId="0" applyFont="1" applyBorder="1" applyAlignment="1">
      <alignment wrapText="1"/>
    </xf>
    <xf numFmtId="0" fontId="6" fillId="0" borderId="2" xfId="0" applyFont="1" applyBorder="1" applyAlignment="1">
      <alignment wrapText="1"/>
    </xf>
    <xf numFmtId="0" fontId="14" fillId="0" borderId="32" xfId="1" applyBorder="1"/>
    <xf numFmtId="0" fontId="14" fillId="0" borderId="23" xfId="1" applyBorder="1"/>
    <xf numFmtId="0" fontId="15" fillId="0" borderId="0" xfId="0" applyFont="1"/>
    <xf numFmtId="0" fontId="14" fillId="0" borderId="15" xfId="1" applyBorder="1"/>
    <xf numFmtId="0" fontId="16" fillId="0" borderId="23" xfId="0" applyFont="1" applyBorder="1" applyAlignment="1">
      <alignment horizontal="left" vertical="center" wrapText="1"/>
    </xf>
    <xf numFmtId="0" fontId="14" fillId="0" borderId="15" xfId="1" applyBorder="1" applyAlignment="1">
      <alignment vertical="center" wrapText="1"/>
    </xf>
    <xf numFmtId="0" fontId="17" fillId="0" borderId="0" xfId="0" applyFont="1"/>
    <xf numFmtId="0" fontId="0" fillId="0" borderId="0" xfId="0" quotePrefix="1"/>
    <xf numFmtId="0" fontId="0" fillId="0" borderId="0" xfId="0" applyAlignment="1">
      <alignment wrapText="1"/>
    </xf>
    <xf numFmtId="0" fontId="0" fillId="0" borderId="0" xfId="0" applyAlignment="1">
      <alignment vertical="top" wrapText="1"/>
    </xf>
    <xf numFmtId="0" fontId="14" fillId="0" borderId="39" xfId="1" applyBorder="1"/>
    <xf numFmtId="0" fontId="12" fillId="0" borderId="0" xfId="0" applyFont="1"/>
    <xf numFmtId="0" fontId="18" fillId="0" borderId="0" xfId="0" applyFont="1"/>
    <xf numFmtId="0" fontId="19" fillId="0" borderId="0" xfId="0" applyFont="1"/>
    <xf numFmtId="0" fontId="20" fillId="0" borderId="0" xfId="0" applyFont="1"/>
    <xf numFmtId="0" fontId="14" fillId="0" borderId="42" xfId="1" applyBorder="1"/>
    <xf numFmtId="0" fontId="12" fillId="0" borderId="42" xfId="0" applyFont="1" applyBorder="1"/>
    <xf numFmtId="0" fontId="21" fillId="0" borderId="0" xfId="0" applyFont="1"/>
    <xf numFmtId="0" fontId="22" fillId="0" borderId="5" xfId="0" applyFont="1" applyBorder="1" applyAlignment="1">
      <alignment wrapText="1"/>
    </xf>
    <xf numFmtId="0" fontId="22" fillId="0" borderId="5" xfId="0" applyFont="1" applyBorder="1"/>
    <xf numFmtId="0" fontId="23" fillId="0" borderId="0" xfId="0" applyFont="1"/>
    <xf numFmtId="0" fontId="24" fillId="0" borderId="0" xfId="0" applyFont="1"/>
    <xf numFmtId="0" fontId="14" fillId="0" borderId="0" xfId="1" applyFill="1" applyAlignment="1">
      <alignment wrapText="1"/>
    </xf>
    <xf numFmtId="0" fontId="14" fillId="0" borderId="42" xfId="2" applyBorder="1"/>
    <xf numFmtId="0" fontId="14" fillId="0" borderId="45" xfId="2" applyBorder="1"/>
    <xf numFmtId="0" fontId="14" fillId="0" borderId="5" xfId="2" applyBorder="1"/>
    <xf numFmtId="0" fontId="22" fillId="0" borderId="0" xfId="0" applyFont="1"/>
    <xf numFmtId="0" fontId="14" fillId="0" borderId="5" xfId="2" applyBorder="1" applyAlignment="1">
      <alignment wrapText="1"/>
    </xf>
    <xf numFmtId="0" fontId="4" fillId="2" borderId="8" xfId="0" applyFont="1" applyFill="1" applyBorder="1" applyAlignment="1">
      <alignment vertical="center" wrapText="1"/>
    </xf>
    <xf numFmtId="0" fontId="4" fillId="2" borderId="19"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4" fillId="2" borderId="48"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36" xfId="0" applyFont="1" applyFill="1" applyBorder="1" applyAlignment="1">
      <alignment horizontal="center" vertical="center" wrapText="1"/>
    </xf>
  </cellXfs>
  <cellStyles count="3">
    <cellStyle name="Hiperligação" xfId="1" builtinId="8"/>
    <cellStyle name="Hyperlink" xfId="2" xr:uid="{00000000-000B-0000-0000-000008000000}"/>
    <cellStyle name="Normal" xfId="0" builtinId="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CCCDC"/>
      <rgbColor rgb="FF878787"/>
      <rgbColor rgb="FF9FB3C8"/>
      <rgbColor rgb="FFE12D39"/>
      <rgbColor rgb="FFF0F4F8"/>
      <rgbColor rgb="FF87EA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7EA8F"/>
      <rgbColor rgb="FFFAFA6A"/>
      <rgbColor rgb="FF99CCFF"/>
      <rgbColor rgb="FFFF99CC"/>
      <rgbColor rgb="FFA4C1FF"/>
      <rgbColor rgb="FFFFCC99"/>
      <rgbColor rgb="FF3E7FCC"/>
      <rgbColor rgb="FF33CCCC"/>
      <rgbColor rgb="FF99CC00"/>
      <rgbColor rgb="FFFFCC00"/>
      <rgbColor rgb="FFFF9900"/>
      <rgbColor rgb="FFFF6600"/>
      <rgbColor rgb="FF486581"/>
      <rgbColor rgb="FF969696"/>
      <rgbColor rgb="FF102A43"/>
      <rgbColor rgb="FF339966"/>
      <rgbColor rgb="FF003300"/>
      <rgbColor rgb="FF333300"/>
      <rgbColor rgb="FF993300"/>
      <rgbColor rgb="FF993366"/>
      <rgbColor rgb="FF334E68"/>
      <rgbColor rgb="FF243B5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c:style val="2"/>
  <c:chart>
    <c:title>
      <c:tx>
        <c:rich>
          <a:bodyPr rot="0"/>
          <a:lstStyle/>
          <a:p>
            <a:pPr>
              <a:defRPr sz="1800" b="1" strike="noStrike" spc="-1">
                <a:solidFill>
                  <a:srgbClr val="000000"/>
                </a:solidFill>
                <a:latin typeface="Calibri"/>
              </a:defRPr>
            </a:pPr>
            <a:r>
              <a:rPr lang="pt-PT" sz="1800" b="1" strike="noStrike" spc="-1">
                <a:solidFill>
                  <a:srgbClr val="000000"/>
                </a:solidFill>
                <a:latin typeface="Calibri"/>
              </a:rPr>
              <a:t>Validity Percentage</a:t>
            </a:r>
          </a:p>
        </c:rich>
      </c:tx>
      <c:overlay val="0"/>
      <c:spPr>
        <a:noFill/>
        <a:ln>
          <a:noFill/>
        </a:ln>
      </c:spPr>
    </c:title>
    <c:autoTitleDeleted val="0"/>
    <c:plotArea>
      <c:layout/>
      <c:radarChart>
        <c:radarStyle val="filled"/>
        <c:varyColors val="0"/>
        <c:ser>
          <c:idx val="0"/>
          <c:order val="0"/>
          <c:tx>
            <c:strRef>
              <c:f>'ASVS Results'!$D$1</c:f>
              <c:strCache>
                <c:ptCount val="1"/>
                <c:pt idx="0">
                  <c:v>Validity Percentage</c:v>
                </c:pt>
              </c:strCache>
            </c:strRef>
          </c:tx>
          <c:spPr>
            <a:gradFill>
              <a:gsLst>
                <a:gs pos="0">
                  <a:srgbClr val="3E7FCC"/>
                </a:gs>
                <a:gs pos="100000">
                  <a:srgbClr val="A4C1FF"/>
                </a:gs>
              </a:gsLst>
              <a:lin ang="16200000"/>
            </a:gradFill>
            <a:ln>
              <a:noFill/>
            </a:ln>
          </c:spPr>
          <c:dLbls>
            <c:spPr>
              <a:noFill/>
              <a:ln>
                <a:noFill/>
              </a:ln>
              <a:effectLst/>
            </c:spPr>
            <c:txPr>
              <a:bodyPr/>
              <a:lstStyle/>
              <a:p>
                <a:pPr>
                  <a:defRPr sz="1000" b="0" strike="noStrike" spc="-1">
                    <a:solidFill>
                      <a:srgbClr val="000000"/>
                    </a:solidFill>
                    <a:latin typeface="Calibri"/>
                  </a:defRPr>
                </a:pPr>
                <a:endParaRPr lang="pt-PT"/>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'ASVS Results'!$A$2:$A$16</c:f>
              <c:strCache>
                <c:ptCount val="15"/>
                <c:pt idx="0">
                  <c:v>Architecture, Design and Threat Modeling</c:v>
                </c:pt>
                <c:pt idx="1">
                  <c:v>Authentication</c:v>
                </c:pt>
                <c:pt idx="2">
                  <c:v>Session Management</c:v>
                </c:pt>
                <c:pt idx="3">
                  <c:v>Access Control</c:v>
                </c:pt>
                <c:pt idx="4">
                  <c:v>Validation, Sanitization and Encoding</c:v>
                </c:pt>
                <c:pt idx="5">
                  <c:v>Stored Cryptography</c:v>
                </c:pt>
                <c:pt idx="6">
                  <c:v>Error Handling and Logging</c:v>
                </c:pt>
                <c:pt idx="7">
                  <c:v>Data Protection</c:v>
                </c:pt>
                <c:pt idx="8">
                  <c:v>Communication</c:v>
                </c:pt>
                <c:pt idx="9">
                  <c:v>Malicious Code</c:v>
                </c:pt>
                <c:pt idx="10">
                  <c:v>Business Logic</c:v>
                </c:pt>
                <c:pt idx="11">
                  <c:v>Files and Resources</c:v>
                </c:pt>
                <c:pt idx="12">
                  <c:v>API and Web Service</c:v>
                </c:pt>
                <c:pt idx="13">
                  <c:v>Configuration</c:v>
                </c:pt>
                <c:pt idx="14">
                  <c:v>Total</c:v>
                </c:pt>
              </c:strCache>
            </c:strRef>
          </c:cat>
          <c:val>
            <c:numRef>
              <c:f>'ASVS Results'!$D$2:$D$16</c:f>
              <c:numCache>
                <c:formatCode>#,##0.00,_€;\-#,##0.00,_€</c:formatCode>
                <c:ptCount val="15"/>
                <c:pt idx="0">
                  <c:v>89.65517241379311</c:v>
                </c:pt>
                <c:pt idx="1">
                  <c:v>100</c:v>
                </c:pt>
                <c:pt idx="2">
                  <c:v>100</c:v>
                </c:pt>
                <c:pt idx="3">
                  <c:v>100</c:v>
                </c:pt>
                <c:pt idx="4">
                  <c:v>100</c:v>
                </c:pt>
                <c:pt idx="5">
                  <c:v>92.307692307692307</c:v>
                </c:pt>
                <c:pt idx="6">
                  <c:v>100</c:v>
                </c:pt>
                <c:pt idx="7">
                  <c:v>100</c:v>
                </c:pt>
                <c:pt idx="8">
                  <c:v>100</c:v>
                </c:pt>
                <c:pt idx="9">
                  <c:v>100</c:v>
                </c:pt>
                <c:pt idx="10">
                  <c:v>100</c:v>
                </c:pt>
                <c:pt idx="11">
                  <c:v>100</c:v>
                </c:pt>
                <c:pt idx="12">
                  <c:v>100</c:v>
                </c:pt>
                <c:pt idx="13">
                  <c:v>100</c:v>
                </c:pt>
                <c:pt idx="14">
                  <c:v>97.31543624161074</c:v>
                </c:pt>
              </c:numCache>
            </c:numRef>
          </c:val>
          <c:extLst>
            <c:ext xmlns:c16="http://schemas.microsoft.com/office/drawing/2014/chart" uri="{C3380CC4-5D6E-409C-BE32-E72D297353CC}">
              <c16:uniqueId val="{00000000-B1BB-483A-9113-E427FD465C9C}"/>
            </c:ext>
          </c:extLst>
        </c:ser>
        <c:dLbls>
          <c:showLegendKey val="0"/>
          <c:showVal val="0"/>
          <c:showCatName val="0"/>
          <c:showSerName val="0"/>
          <c:showPercent val="0"/>
          <c:showBubbleSize val="0"/>
        </c:dLbls>
        <c:axId val="17923522"/>
        <c:axId val="74048637"/>
      </c:radarChart>
      <c:catAx>
        <c:axId val="17923522"/>
        <c:scaling>
          <c:orientation val="minMax"/>
        </c:scaling>
        <c:delete val="0"/>
        <c:axPos val="b"/>
        <c:majorGridlines>
          <c:spPr>
            <a:ln w="9360">
              <a:solidFill>
                <a:srgbClr val="878787"/>
              </a:solidFill>
              <a:round/>
            </a:ln>
          </c:spPr>
        </c:majorGridlines>
        <c:numFmt formatCode="General" sourceLinked="1"/>
        <c:majorTickMark val="out"/>
        <c:minorTickMark val="none"/>
        <c:tickLblPos val="nextTo"/>
        <c:spPr>
          <a:ln w="9360">
            <a:noFill/>
          </a:ln>
        </c:spPr>
        <c:txPr>
          <a:bodyPr/>
          <a:lstStyle/>
          <a:p>
            <a:pPr>
              <a:defRPr sz="1000" b="0" strike="noStrike" spc="-1">
                <a:solidFill>
                  <a:srgbClr val="000000"/>
                </a:solidFill>
                <a:latin typeface="Calibri"/>
              </a:defRPr>
            </a:pPr>
            <a:endParaRPr lang="pt-PT"/>
          </a:p>
        </c:txPr>
        <c:crossAx val="74048637"/>
        <c:crosses val="autoZero"/>
        <c:auto val="1"/>
        <c:lblAlgn val="ctr"/>
        <c:lblOffset val="100"/>
        <c:noMultiLvlLbl val="0"/>
      </c:catAx>
      <c:valAx>
        <c:axId val="74048637"/>
        <c:scaling>
          <c:orientation val="minMax"/>
        </c:scaling>
        <c:delete val="0"/>
        <c:axPos val="l"/>
        <c:majorGridlines>
          <c:spPr>
            <a:ln w="9360">
              <a:solidFill>
                <a:srgbClr val="878787"/>
              </a:solidFill>
              <a:round/>
            </a:ln>
          </c:spPr>
        </c:majorGridlines>
        <c:numFmt formatCode="#,##0.00\ ;\(#,##0.00\)" sourceLinked="0"/>
        <c:majorTickMark val="cross"/>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PT"/>
          </a:p>
        </c:txPr>
        <c:crossAx val="17923522"/>
        <c:crosses val="autoZero"/>
        <c:crossBetween val="midCat"/>
      </c:valAx>
      <c:spPr>
        <a:solidFill>
          <a:srgbClr val="FFFFFF"/>
        </a:solidFill>
        <a:ln>
          <a:noFill/>
        </a:ln>
      </c:spPr>
    </c:plotArea>
    <c:legend>
      <c:legendPos val="r"/>
      <c:overlay val="0"/>
      <c:spPr>
        <a:noFill/>
        <a:ln>
          <a:noFill/>
        </a:ln>
      </c:spPr>
      <c:txPr>
        <a:bodyPr/>
        <a:lstStyle/>
        <a:p>
          <a:pPr>
            <a:defRPr sz="1000" b="0" strike="noStrike" spc="-1">
              <a:solidFill>
                <a:srgbClr val="000000"/>
              </a:solidFill>
              <a:latin typeface="Calibri"/>
            </a:defRPr>
          </a:pPr>
          <a:endParaRPr lang="pt-PT"/>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26280</xdr:rowOff>
    </xdr:from>
    <xdr:to>
      <xdr:col>4</xdr:col>
      <xdr:colOff>1719000</xdr:colOff>
      <xdr:row>51</xdr:row>
      <xdr:rowOff>25560</xdr:rowOff>
    </xdr:to>
    <xdr:graphicFrame macro="">
      <xdr:nvGraphicFramePr>
        <xdr:cNvPr id="2" name="Chart 2">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57150</xdr:colOff>
      <xdr:row>14</xdr:row>
      <xdr:rowOff>104775</xdr:rowOff>
    </xdr:from>
    <xdr:to>
      <xdr:col>8</xdr:col>
      <xdr:colOff>19050</xdr:colOff>
      <xdr:row>14</xdr:row>
      <xdr:rowOff>2400300</xdr:rowOff>
    </xdr:to>
    <xdr:pic>
      <xdr:nvPicPr>
        <xdr:cNvPr id="2" name="Imagem 1">
          <a:extLst>
            <a:ext uri="{FF2B5EF4-FFF2-40B4-BE49-F238E27FC236}">
              <a16:creationId xmlns:a16="http://schemas.microsoft.com/office/drawing/2014/main" id="{FF8B9967-659D-A2DF-2060-881DC6489871}"/>
            </a:ext>
          </a:extLst>
        </xdr:cNvPr>
        <xdr:cNvPicPr>
          <a:picLocks noChangeAspect="1"/>
        </xdr:cNvPicPr>
      </xdr:nvPicPr>
      <xdr:blipFill>
        <a:blip xmlns:r="http://schemas.openxmlformats.org/officeDocument/2006/relationships" r:embed="rId1"/>
        <a:stretch>
          <a:fillRect/>
        </a:stretch>
      </xdr:blipFill>
      <xdr:spPr>
        <a:xfrm>
          <a:off x="12515850" y="7267575"/>
          <a:ext cx="4572000" cy="2295525"/>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C062FF-5151-46E2-85AB-B50359D15FF2}">
  <we:reference id="44446093-b465-4d6c-a6dc-5faf6de98677" version="2.5.5.0" store="EXCatalog" storeType="EXCatalog"/>
  <we:alternateReferences>
    <we:reference id="WA200005271" version="2.5.5.0" store="pt-PT"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IsepMartimOliveira/desofs2025_wed_ffs_4/blob/docs/phase1/src/main/java/com/example/psoft_22_23_project/configuration/SecurityConfig.java" TargetMode="External"/><Relationship Id="rId3" Type="http://schemas.openxmlformats.org/officeDocument/2006/relationships/hyperlink" Target="https://github.com/IsepMartimOliveira/desofs2025_wed_ffs_4/blob/docs/phase1/src/main/java/com/example/psoft_22_23_project/api/AuthApi.java" TargetMode="External"/><Relationship Id="rId7" Type="http://schemas.openxmlformats.org/officeDocument/2006/relationships/hyperlink" Target="https://github.com/IsepMartimOliveira/desofs2025_wed_ffs_4/blob/docs/phase1/src/main/java/com/example/psoft_22_23_project/configuration/SecurityConfig.java" TargetMode="External"/><Relationship Id="rId2" Type="http://schemas.openxmlformats.org/officeDocument/2006/relationships/hyperlink" Target="https://github.com/IsepMartimOliveira/desofs2025_wed_ffs_4/blob/docs/phase1/src/main/java/com/example/psoft_22_23_project/configuration/SecurityConfig.java" TargetMode="External"/><Relationship Id="rId1" Type="http://schemas.openxmlformats.org/officeDocument/2006/relationships/hyperlink" Target="https://github.com/IsepMartimOliveira/desofs2025_wed_ffs_4/blob/docs/phase1/src/main/java/com/example/psoft_22_23_project/api/AuthApi.java" TargetMode="External"/><Relationship Id="rId6" Type="http://schemas.openxmlformats.org/officeDocument/2006/relationships/hyperlink" Target="https://github.com/IsepMartimOliveira/desofs2025_wed_ffs_4/blob/docs/phase1/src/main/java/com/example/psoft_22_23_project/configuration/SecurityConfig.java" TargetMode="External"/><Relationship Id="rId5" Type="http://schemas.openxmlformats.org/officeDocument/2006/relationships/hyperlink" Target="https://github.com/IsepMartimOliveira/desofs2025_wed_ffs_4/blob/docs/phase1/src/main/java/com/example/psoft_22_23_project/configuration/SecurityConfig.java" TargetMode="External"/><Relationship Id="rId10" Type="http://schemas.openxmlformats.org/officeDocument/2006/relationships/hyperlink" Target="https://github.com/IsepMartimOliveira/desofs2025_wed_ffs_4/blob/main/src/main/java/com/example/psoft_22_23_project/subscriptionsmanagement/services/SubscriptionsServiceImpl.java" TargetMode="External"/><Relationship Id="rId4" Type="http://schemas.openxmlformats.org/officeDocument/2006/relationships/hyperlink" Target="https://github.com/IsepMartimOliveira/desofs2025_wed_ffs_4/blob/docs/phase1/src/main/java/com/example/psoft_22_23_project/configuration/SecurityConfig.java" TargetMode="External"/><Relationship Id="rId9" Type="http://schemas.openxmlformats.org/officeDocument/2006/relationships/hyperlink" Target="https://github.com/IsepMartimOliveira/desofs2025_wed_ffs_4/blob/docs/phase1/src/main/java/com/example/psoft_22_23_project/configuration/SecurityConfig.java"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IsepMartimOliveira/desofs2025_wed_ffs_4/blob/main/src/main/java/com/example/psoft_22_23_project/configuration/SecurityConfig.java" TargetMode="External"/><Relationship Id="rId2" Type="http://schemas.openxmlformats.org/officeDocument/2006/relationships/hyperlink" Target="https://github.com/IsepMartimOliveira/desofs2025_wed_ffs_4/blob/main/src/main/java/com/example/psoft_22_23_project/usermanagement/services/UserService.java" TargetMode="External"/><Relationship Id="rId1" Type="http://schemas.openxmlformats.org/officeDocument/2006/relationships/hyperlink" Target="https://github.com/IsepMartimOliveira/desofs2025_wed_ffs_4/blob/main/src/main/java/com/example/psoft_22_23_project/usermanagement/api/CreateUserRequest.java" TargetMode="External"/><Relationship Id="rId6" Type="http://schemas.openxmlformats.org/officeDocument/2006/relationships/hyperlink" Target="https://github.com/IsepMartimOliveira/desofs2025_wed_ffs_4/blob/main/src/main/java/com/example/psoft_22_23_project/usermanagement/api/UserController.java" TargetMode="External"/><Relationship Id="rId5" Type="http://schemas.openxmlformats.org/officeDocument/2006/relationships/hyperlink" Target="https://github.com/IsepMartimOliveira/desofs2025_wed_ffs_4/blob/main/src/main/java/com/example/psoft_22_23_project/api/AuthApi.java" TargetMode="External"/><Relationship Id="rId4" Type="http://schemas.openxmlformats.org/officeDocument/2006/relationships/hyperlink" Target="https://github.com/IsepMartimOliveira/desofs2025_wed_ffs_4/blob/main/src/main/java/com/example/psoft_22_23_project/configuration/SecurityConfig.java"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IsepMartimOliveira/desofs2025_wed_ffs_4/blob/main/src/main/java/com/example/psoft_22_23_project/configuration/SecurityConfig.java" TargetMode="External"/><Relationship Id="rId2" Type="http://schemas.openxmlformats.org/officeDocument/2006/relationships/hyperlink" Target="https://github.com/IsepMartimOliveira/desofs2025_wed_ffs_4/blob/main/src/main/java/com/example/psoft_22_23_project/configuration/SecurityConfig.java" TargetMode="External"/><Relationship Id="rId1" Type="http://schemas.openxmlformats.org/officeDocument/2006/relationships/hyperlink" Target="https://github.com/IsepMartimOliveira/desofs2025_wed_ffs_4/blob/main/src/main/java/com/example/psoft_22_23_project/configuration/JwtService.java" TargetMode="External"/><Relationship Id="rId6" Type="http://schemas.openxmlformats.org/officeDocument/2006/relationships/hyperlink" Target="https://github.com/IsepMartimOliveira/desofs2025_wed_ffs_4/blob/main/src/main/java/com/example/psoft_22_23_project/configuration/SecurityConfig.java" TargetMode="External"/><Relationship Id="rId5" Type="http://schemas.openxmlformats.org/officeDocument/2006/relationships/hyperlink" Target="https://github.com/IsepMartimOliveira/desofs2025_wed_ffs_4/blob/main/src/main/java/com/example/psoft_22_23_project/configuration/SecurityConfig.java" TargetMode="External"/><Relationship Id="rId4" Type="http://schemas.openxmlformats.org/officeDocument/2006/relationships/hyperlink" Target="https://github.com/IsepMartimOliveira/desofs2025_wed_ffs_4/blob/main/src/main/java/com/example/psoft_22_23_project/configuration/JwtService.java"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ithub.com/IsepMartimOliveira/desofs2025_wed_ffs_4/blob/main/src/main/java/com/example/psoft_22_23_project/configuration/SecurityConfig.java" TargetMode="External"/><Relationship Id="rId2" Type="http://schemas.openxmlformats.org/officeDocument/2006/relationships/hyperlink" Target="https://github.com/IsepMartimOliveira/desofs2025_wed_ffs_4/blob/main/src/main/java/com/example/psoft_22_23_project/configuration/SecurityConfig.java" TargetMode="External"/><Relationship Id="rId1" Type="http://schemas.openxmlformats.org/officeDocument/2006/relationships/hyperlink" Target="https://github.com/IsepMartimOliveira/desofs2025_wed_ffs_4/blob/main/src/main/java/com/example/psoft_22_23_project/configuration/SecurityConfig.java" TargetMode="External"/><Relationship Id="rId5" Type="http://schemas.openxmlformats.org/officeDocument/2006/relationships/hyperlink" Target="https://github.com/IsepMartimOliveira/desofs2025_wed_ffs_4/blob/main/src/main/java/com/example/psoft_22_23_project/configuration/SecurityConfig.java" TargetMode="External"/><Relationship Id="rId4" Type="http://schemas.openxmlformats.org/officeDocument/2006/relationships/hyperlink" Target="https://github.com/IsepMartimOliveira/desofs2025_wed_ffs_4/blob/main/src/main/java/com/example/psoft_22_23_project/configuration/SecurityConfig.java"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github.com/IsepMartimOliveira/desofs2025_wed_ffs_4/blob/main/src/main/java/com/example/psoft_22_23_project/plansmanagement/repositories/PlansRepository.java" TargetMode="External"/><Relationship Id="rId13" Type="http://schemas.openxmlformats.org/officeDocument/2006/relationships/hyperlink" Target="https://github.com/IsepMartimOliveira/desofs2025_wed_ffs_4/blob/main/src/main/java/com/example/psoft_22_23_project/usermanagement/api/UserController.java" TargetMode="External"/><Relationship Id="rId3" Type="http://schemas.openxmlformats.org/officeDocument/2006/relationships/hyperlink" Target="https://github.com/IsepMartimOliveira/desofs2025_wed_ffs_4/blob/main/src/main/java/com/example/psoft_22_23_project/plansmanagement/api/CreatePlanRequest.java" TargetMode="External"/><Relationship Id="rId7" Type="http://schemas.openxmlformats.org/officeDocument/2006/relationships/hyperlink" Target="https://github.com/IsepMartimOliveira/desofs2025_wed_ffs_4/blob/main/src/main/java/com/example/psoft_22_23_project/filestoragemanagement/sanitize/SanitizeImage.java" TargetMode="External"/><Relationship Id="rId12" Type="http://schemas.openxmlformats.org/officeDocument/2006/relationships/hyperlink" Target="https://github.com/IsepMartimOliveira/desofs2025_wed_ffs_4/blob/main/src/main/java/com/example/psoft_22_23_project/filestoragemanagement/sanitize/SanitizeImage.java" TargetMode="External"/><Relationship Id="rId2" Type="http://schemas.openxmlformats.org/officeDocument/2006/relationships/hyperlink" Target="https://github.com/IsepMartimOliveira/desofs2025_wed_ffs_4/blob/main/src/main/java/com/example/psoft_22_23_project/plansmanagement/api/PlansController.java" TargetMode="External"/><Relationship Id="rId1" Type="http://schemas.openxmlformats.org/officeDocument/2006/relationships/hyperlink" Target="https://github.com/IsepMartimOliveira/desofs2025_wed_ffs_4/blob/main/src/main/java/com/example/psoft_22_23_project/usermanagement/api/CreateUserRequest.java" TargetMode="External"/><Relationship Id="rId6" Type="http://schemas.openxmlformats.org/officeDocument/2006/relationships/hyperlink" Target="https://github.com/IsepMartimOliveira/desofs2025_wed_ffs_4/blob/main/src/main/java/com/example/psoft_22_23_project/filestoragemanagement/sanitize/SanitizeImage.java" TargetMode="External"/><Relationship Id="rId11" Type="http://schemas.openxmlformats.org/officeDocument/2006/relationships/hyperlink" Target="https://github.com/IsepMartimOliveira/desofs2025_wed_ffs_4/blob/main/src/main/java/com/example/psoft_22_23_project/filestoragemanagement/sanitize/SanitizeImage.java" TargetMode="External"/><Relationship Id="rId5" Type="http://schemas.openxmlformats.org/officeDocument/2006/relationships/hyperlink" Target="https://github.com/IsepMartimOliveira/desofs2025_wed_ffs_4/blob/main/src/main/java/com/example/psoft_22_23_project/filestoragemanagement/sanitize/SanitizeImage.java" TargetMode="External"/><Relationship Id="rId10" Type="http://schemas.openxmlformats.org/officeDocument/2006/relationships/hyperlink" Target="https://github.com/IsepMartimOliveira/desofs2025_wed_ffs_4/blob/main/src/main/java/com/example/psoft_22_23_project/configuration/SecurityConfig.java" TargetMode="External"/><Relationship Id="rId4" Type="http://schemas.openxmlformats.org/officeDocument/2006/relationships/hyperlink" Target="https://github.com/IsepMartimOliveira/desofs2025_wed_ffs_4/blob/main/src/main/java/com/example/psoft_22_23_project/usermanagement/model/User.java" TargetMode="External"/><Relationship Id="rId9" Type="http://schemas.openxmlformats.org/officeDocument/2006/relationships/hyperlink" Target="https://github.com/IsepMartimOliveira/desofs2025_wed_ffs_4/blob/main/src/main/java/com/example/psoft_22_23_project/filestoragemanagement/sanitize/SanitizeImage.java"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github.com/IsepMartimOliveira/desofs2025_wed_ffs_4/blob/main/src/main/java/com/example/psoft_22_23_project/configuration/SecurityConfig.java%20@Beanpublic%20JwtEncoder%20jwtEncoder()%20%7bfinal%20JWK%20jwk%20=%20new%20RSAKey.Builder(this.rsaPublicKey).privateKey(this.rsaPrivateKey).build();final%20JWKSource%3cSecurityContext%3e%20jwks%20=%20new%20ImmutableJWKSet%3c%3e(new%20JWKSet(jwk));return%20new%20NimbusJwtEncoder(jwks);%7d/%20Used%20by%20JwtAuthenticationProvider%20to%20decode%20and%20validate%20JWT%20tokens@Beanpublic%20JwtDecoder%20jwtDecoder()%20%7breturn%20NimbusJwtDecoder.withPublicKey(this.rsaPublicKey).build();%7d" TargetMode="External"/><Relationship Id="rId2" Type="http://schemas.openxmlformats.org/officeDocument/2006/relationships/hyperlink" Target="https://github.com/IsepMartimOliveira/desofs2025_wed_ffs_4/blob/main/src/main/java/com/example/psoft_22_23_project/configuration/SecurityConfig.java" TargetMode="External"/><Relationship Id="rId1" Type="http://schemas.openxmlformats.org/officeDocument/2006/relationships/hyperlink" Target="https://github.com/IsepMartimOliveira/desofs2025_wed_ffs_4/blob/main/.github/workflows/build_and_publish.yaml" TargetMode="External"/><Relationship Id="rId5" Type="http://schemas.openxmlformats.org/officeDocument/2006/relationships/printerSettings" Target="../printerSettings/printerSettings1.bin"/><Relationship Id="rId4" Type="http://schemas.openxmlformats.org/officeDocument/2006/relationships/hyperlink" Target="https://github.com/IsepMartimOliveira/desofs2025_wed_ffs_4/blob/main/src/main/java/com/example/psoft_22_23_project/configuration/SecurityConfig.java%20%22@Bean%20public%20PasswordEncoder%20passwordEncoder()%20%7breturn%20new%20BCryptPasswordEncoder();%7d%22"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github.com/IsepMartimOliveira/desofs2025_wed_ffs_4/blob/main/src/main/java/com/example/psoft_22_23_project/api/AuthApi.java" TargetMode="External"/><Relationship Id="rId2" Type="http://schemas.openxmlformats.org/officeDocument/2006/relationships/hyperlink" Target="https://github.com/IsepMartimOliveira/desofs2025_wed_ffs_4/blob/main/src/main/java/com/example/psoft_22_23_project/api/AuthApi.java" TargetMode="External"/><Relationship Id="rId1" Type="http://schemas.openxmlformats.org/officeDocument/2006/relationships/hyperlink" Target="https://github.com/IsepMartimOliveira/desofs2025_wed_ffs_4/blob/main/src/main/java/com/example/psoft_22_23_project/api/AuthApi.java" TargetMode="External"/><Relationship Id="rId6" Type="http://schemas.openxmlformats.org/officeDocument/2006/relationships/hyperlink" Target="https://github.com/IsepMartimOliveira/desofs2025_wed_ffs_4/blob/main/src/main/java/com/example/psoft_22_23_project/exceptions/GlobalExceptionHandler.java" TargetMode="External"/><Relationship Id="rId5" Type="http://schemas.openxmlformats.org/officeDocument/2006/relationships/hyperlink" Target="https://github.com/IsepMartimOliveira/desofs2025_wed_ffs_4/blob/main/src/main/java/com/example/psoft_22_23_project/api/AuthApi.java" TargetMode="External"/><Relationship Id="rId4" Type="http://schemas.openxmlformats.org/officeDocument/2006/relationships/hyperlink" Target="https://github.com/IsepMartimOliveira/desofs2025_wed_ffs_4/blob/main/src/main/java/com/example/psoft_22_23_project/api/AuthApi.jav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IsepMartimOliveira/desofs2025_wed_ffs_4/blob/Authentication/src/main/java/com/example/psoft_22_23_project/usermanagement/api/UserController.java"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github.com/IsepMartimOliveira/desofs2025_wed_ffs_4/blob/main/src/main/resources/application.properties" TargetMode="External"/><Relationship Id="rId2" Type="http://schemas.openxmlformats.org/officeDocument/2006/relationships/hyperlink" Target="https://github.com/IsepMartimOliveira/desofs2025_wed_ffs_4/blob/main/src/main/resources/application.properties" TargetMode="External"/><Relationship Id="rId1" Type="http://schemas.openxmlformats.org/officeDocument/2006/relationships/hyperlink" Target="https://github.com/IsepMartimOliveira/desofs2025_wed_ffs_4/blob/main/src/main/resources/application.properties" TargetMode="External"/><Relationship Id="rId5" Type="http://schemas.openxmlformats.org/officeDocument/2006/relationships/hyperlink" Target="https://github.com/IsepMartimOliveira/desofs2025_wed_ffs_4/blob/main/src/main/resources/application.properties" TargetMode="External"/><Relationship Id="rId4" Type="http://schemas.openxmlformats.org/officeDocument/2006/relationships/hyperlink" Target="https://github.com/IsepMartimOliveira/desofs2025_wed_ffs_4/blob/main/src/main/resources/application.properties"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github.com/IsepMartimOliveira/desofs2025_wed_ffs_4/blob/main/src/main/resources/application.properties" TargetMode="External"/><Relationship Id="rId1" Type="http://schemas.openxmlformats.org/officeDocument/2006/relationships/hyperlink" Target="https://github.com/IsepMartimOliveira/desofs2025_wed_ffs_4/blob/main/pom.xml"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github.com/IsepMartimOliveira/desofs2025_wed_ffs_4/blob/60685731027efced577ee73517a2d84a07e1e639/src/main/java/com/example/psoft_22_23_project/api/AuthApi.java" TargetMode="External"/><Relationship Id="rId2" Type="http://schemas.openxmlformats.org/officeDocument/2006/relationships/hyperlink" Target="https://github.com/IsepMartimOliveira/desofs2025_wed_ffs_4/blob/60685731027efced577ee73517a2d84a07e1e639/src/main/java/com/example/psoft_22_23_project/api/AuthApi.java" TargetMode="External"/><Relationship Id="rId1" Type="http://schemas.openxmlformats.org/officeDocument/2006/relationships/hyperlink" Target="https://github.com/IsepMartimOliveira/desofs2025_wed_ffs_4/blob/60685731027efced577ee73517a2d84a07e1e639/src/main/java/com/example/psoft_22_23_project/devicemanagement/services/DeviceServiceImpl.java" TargetMode="External"/><Relationship Id="rId5" Type="http://schemas.openxmlformats.org/officeDocument/2006/relationships/hyperlink" Target="https://github.com/IsepMartimOliveira/desofs2025_wed_ffs_4/blob/60685731027efced577ee73517a2d84a07e1e639/src/main/java/com/example/psoft_22_23_project/api/AuthApi.java" TargetMode="External"/><Relationship Id="rId4" Type="http://schemas.openxmlformats.org/officeDocument/2006/relationships/hyperlink" Target="https://github.com/IsepMartimOliveira/desofs2025_wed_ffs_4/blob/60685731027efced577ee73517a2d84a07e1e639/src/main/java/com/example/psoft_22_23_project/api/AuthApi.java"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github.com/IsepMartimOliveira/desofs2025_wed_ffs_4/blob/main/src/main/java/com/example/psoft_22_23_project/filestoragemanagement/sanitize/SanitizeImage.java" TargetMode="External"/><Relationship Id="rId2" Type="http://schemas.openxmlformats.org/officeDocument/2006/relationships/hyperlink" Target="https://github.com/IsepMartimOliveira/desofs2025_wed_ffs_4/blob/main/src/main/java/com/example/psoft_22_23_project/filestoragemanagement/sanitize/AllowedImage.java" TargetMode="External"/><Relationship Id="rId1" Type="http://schemas.openxmlformats.org/officeDocument/2006/relationships/hyperlink" Target="https://github.com/IsepMartimOliveira/desofs2025_wed_ffs_4/blob/main/src/main/resources/assets/keep-calm-and-love-jpa.png" TargetMode="External"/><Relationship Id="rId5" Type="http://schemas.openxmlformats.org/officeDocument/2006/relationships/hyperlink" Target="https://github.com/IsepMartimOliveira/desofs2025_wed_ffs_4/blob/main/src/main/java/com/example/psoft_22_23_project/filestoragemanagement/sanitize/SanitizeImage.java" TargetMode="External"/><Relationship Id="rId4" Type="http://schemas.openxmlformats.org/officeDocument/2006/relationships/hyperlink" Target="https://github.com/IsepMartimOliveira/desofs2025_wed_ffs_4/blob/main/src/main/resources/application.properties"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github.com/IsepMartimOliveira/desofs2025_wed_ffs_4/blob/main/src/main/java/com/example/psoft_22_23_project/configuration/SecurityConfig.java" TargetMode="External"/><Relationship Id="rId7" Type="http://schemas.openxmlformats.org/officeDocument/2006/relationships/hyperlink" Target="https://github.com/IsepMartimOliveira/desofs2025_wed_ffs_4/blob/main/src/main/java/com/example/psoft_22_23_project/configuration/SecurityConfig.java" TargetMode="External"/><Relationship Id="rId2" Type="http://schemas.openxmlformats.org/officeDocument/2006/relationships/hyperlink" Target="https://github.com/IsepMartimOliveira/desofs2025_wed_ffs_4/blob/main/src/main/java/com/example/psoft_22_23_project/plansmanagement/api/PlansController.java" TargetMode="External"/><Relationship Id="rId1" Type="http://schemas.openxmlformats.org/officeDocument/2006/relationships/hyperlink" Target="https://github.com/IsepMartimOliveira/desofs2025_wed_ffs_4/blob/main/src/main/resources/application.properties" TargetMode="External"/><Relationship Id="rId6" Type="http://schemas.openxmlformats.org/officeDocument/2006/relationships/hyperlink" Target="https://github.com/IsepMartimOliveira/desofs2025_wed_ffs_4/blob/main/src/main/java/com/example/psoft_22_23_project/usermanagement/api/UserController.java" TargetMode="External"/><Relationship Id="rId5" Type="http://schemas.openxmlformats.org/officeDocument/2006/relationships/hyperlink" Target="https://github.com/IsepMartimOliveira/desofs2025_wed_ffs_4/blob/main/src/main/java/com/example/psoft_22_23_project/plansmanagement/api/CreatePlanRequest.java" TargetMode="External"/><Relationship Id="rId4" Type="http://schemas.openxmlformats.org/officeDocument/2006/relationships/hyperlink" Target="https://github.com/IsepMartimOliveira/desofs2025_wed_ffs_4/blob/main/src/main/java/com/example/psoft_22_23_project/configuration/SecurityConfig.java"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github.com/IsepMartimOliveira/desofs2025_wed_ffs_4/blob/main/src/main/java/com/example/psoft_22_23_project/devicemanagement/api/DeviceController.java" TargetMode="External"/><Relationship Id="rId13" Type="http://schemas.openxmlformats.org/officeDocument/2006/relationships/hyperlink" Target="https://github.com/IsepMartimOliveira/desofs2025_wed_ffs_4/blob/main/src/main/java/com/example/psoft_22_23_project/configuration/SecurityConfig.java" TargetMode="External"/><Relationship Id="rId3" Type="http://schemas.openxmlformats.org/officeDocument/2006/relationships/hyperlink" Target="https://github.com/IsepMartimOliveira/desofs2025_wed_ffs_4/blob/main/pom.xml" TargetMode="External"/><Relationship Id="rId7" Type="http://schemas.openxmlformats.org/officeDocument/2006/relationships/hyperlink" Target="https://github.com/IsepMartimOliveira/desofs2025_wed_ffs_4/blob/main/src/main/java/com/example/psoft_22_23_project/configuration/SecurityConfig.java" TargetMode="External"/><Relationship Id="rId12" Type="http://schemas.openxmlformats.org/officeDocument/2006/relationships/hyperlink" Target="https://github.com/IsepMartimOliveira/desofs2025_wed_ffs_4/blob/main/src/main/java/com/example/psoft_22_23_project/configuration/SecurityConfig.java" TargetMode="External"/><Relationship Id="rId2" Type="http://schemas.openxmlformats.org/officeDocument/2006/relationships/hyperlink" Target="https://github.com/IsepMartimOliveira/desofs2025_wed_ffs_4/blob/main/pom.xml" TargetMode="External"/><Relationship Id="rId1" Type="http://schemas.openxmlformats.org/officeDocument/2006/relationships/hyperlink" Target="https://github.com/IsepMartimOliveira/desofs2025_wed_ffs_4/blob/main/.github/workflows/build_and_publish.yaml" TargetMode="External"/><Relationship Id="rId6" Type="http://schemas.openxmlformats.org/officeDocument/2006/relationships/hyperlink" Target="https://github.com/IsepMartimOliveira/desofs2025_wed_ffs_4/blob/main/src/main/java/com/example/psoft_22_23_project/configuration/SecurityConfig.java" TargetMode="External"/><Relationship Id="rId11" Type="http://schemas.openxmlformats.org/officeDocument/2006/relationships/hyperlink" Target="https://github.com/IsepMartimOliveira/desofs2025_wed_ffs_4/blob/main/src/main/java/com/example/psoft_22_23_project/configuration/SecurityConfig.java" TargetMode="External"/><Relationship Id="rId5" Type="http://schemas.openxmlformats.org/officeDocument/2006/relationships/hyperlink" Target="https://github.com/IsepMartimOliveira/desofs2025_wed_ffs_4/blob/main/src/main/java/com/example/psoft_22_23_project/configuration/SecurityConfig.java" TargetMode="External"/><Relationship Id="rId15" Type="http://schemas.openxmlformats.org/officeDocument/2006/relationships/drawing" Target="../drawings/drawing2.xml"/><Relationship Id="rId10" Type="http://schemas.openxmlformats.org/officeDocument/2006/relationships/hyperlink" Target="https://github.com/IsepMartimOliveira/desofs2025_wed_ffs_4/blob/main/src/main/java/com/example/psoft_22_23_project/configuration/SecurityConfig.java" TargetMode="External"/><Relationship Id="rId4" Type="http://schemas.openxmlformats.org/officeDocument/2006/relationships/hyperlink" Target="https://github.com/IsepMartimOliveira/desofs2025_wed_ffs_4/blob/main/src/main/java/com/example/psoft_22_23_project/configuration/SecurityConfig.java" TargetMode="External"/><Relationship Id="rId9" Type="http://schemas.openxmlformats.org/officeDocument/2006/relationships/hyperlink" Target="https://github.com/IsepMartimOliveira/desofs2025_wed_ffs_4/blob/main/src/main/java/com/example/psoft_22_23_project/devicemanagement/api/DeviceController.java" TargetMode="External"/><Relationship Id="rId14" Type="http://schemas.openxmlformats.org/officeDocument/2006/relationships/hyperlink" Target="https://github.com/IsepMartimOliveira/desofs2025_wed_ffs_4/blob/main/src/main/resources/application.propert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6"/>
  <sheetViews>
    <sheetView topLeftCell="A25" zoomScale="95" zoomScaleNormal="95" workbookViewId="0">
      <selection activeCell="E24" sqref="E24"/>
    </sheetView>
  </sheetViews>
  <sheetFormatPr defaultColWidth="8.7109375" defaultRowHeight="21"/>
  <cols>
    <col min="1" max="1" width="64.28515625" style="3" customWidth="1"/>
    <col min="2" max="2" width="23.28515625" style="4" customWidth="1"/>
    <col min="3" max="3" width="21" style="4" customWidth="1"/>
    <col min="4" max="4" width="25" style="4" customWidth="1"/>
    <col min="5" max="5" width="37" style="4" customWidth="1"/>
    <col min="6" max="1024" width="8.7109375" style="4"/>
  </cols>
  <sheetData>
    <row r="1" spans="1:6" s="7" customFormat="1" ht="42">
      <c r="A1" s="5" t="s">
        <v>0</v>
      </c>
      <c r="B1" s="6" t="s">
        <v>1</v>
      </c>
      <c r="C1" s="6" t="s">
        <v>2</v>
      </c>
      <c r="D1" s="6" t="s">
        <v>3</v>
      </c>
      <c r="E1" s="6" t="s">
        <v>4</v>
      </c>
    </row>
    <row r="2" spans="1:6" s="13" customFormat="1">
      <c r="A2" s="8" t="s">
        <v>5</v>
      </c>
      <c r="B2" s="9">
        <f>0+COUNTIF('Architecture, Design and Threat'!G2:G45,"Valid")</f>
        <v>26</v>
      </c>
      <c r="C2" s="10">
        <f>COUNTIF('Architecture, Design and Threat'!G2:G45,"&lt;&gt;Not Applicable")</f>
        <v>29</v>
      </c>
      <c r="D2" s="11">
        <f t="shared" ref="D2:D16" si="0">(B2/C2)*100</f>
        <v>89.65517241379311</v>
      </c>
      <c r="E2" s="12"/>
    </row>
    <row r="3" spans="1:6">
      <c r="A3" s="8" t="s">
        <v>6</v>
      </c>
      <c r="B3" s="9">
        <f>COUNTIF(Authentication!G2:G58,"Valid")</f>
        <v>16</v>
      </c>
      <c r="C3" s="10">
        <f>COUNTIF(Authentication!G2:G58,"&lt;&gt;Not Applicable")</f>
        <v>16</v>
      </c>
      <c r="D3" s="11">
        <f t="shared" si="0"/>
        <v>100</v>
      </c>
      <c r="E3" s="12"/>
    </row>
    <row r="4" spans="1:6">
      <c r="A4" s="8" t="s">
        <v>7</v>
      </c>
      <c r="B4" s="9">
        <f>COUNTIF('Session Management'!G2:G21,"Valid")</f>
        <v>8</v>
      </c>
      <c r="C4" s="10">
        <f>COUNTIF('Session Management'!G2:G21,"&lt;&gt;Not Applicable")</f>
        <v>8</v>
      </c>
      <c r="D4" s="11">
        <f t="shared" si="0"/>
        <v>100</v>
      </c>
      <c r="E4" s="12"/>
    </row>
    <row r="5" spans="1:6">
      <c r="A5" s="8" t="s">
        <v>8</v>
      </c>
      <c r="B5" s="9">
        <f>COUNTIF('Access Control'!G2:G11,"Valid")</f>
        <v>5</v>
      </c>
      <c r="C5" s="10">
        <f>COUNTIF('Access Control'!G2:G11,"&lt;&gt;Not Applicable")</f>
        <v>5</v>
      </c>
      <c r="D5" s="11">
        <f t="shared" si="0"/>
        <v>100</v>
      </c>
      <c r="E5" s="12"/>
    </row>
    <row r="6" spans="1:6">
      <c r="A6" s="8" t="s">
        <v>9</v>
      </c>
      <c r="B6" s="9">
        <f>COUNTIF('Validation, Sanitization and En'!G2:G31,"Valid")</f>
        <v>16</v>
      </c>
      <c r="C6" s="10">
        <f>COUNTIF('Validation, Sanitization and En'!G2:G31,"&lt;&gt;Not Applicable")</f>
        <v>16</v>
      </c>
      <c r="D6" s="11">
        <f t="shared" si="0"/>
        <v>100</v>
      </c>
      <c r="E6" s="12"/>
    </row>
    <row r="7" spans="1:6">
      <c r="A7" s="8" t="s">
        <v>10</v>
      </c>
      <c r="B7" s="9">
        <f>COUNTIF('Stored Cryptography'!G2:G17,"Valid")</f>
        <v>12</v>
      </c>
      <c r="C7" s="10">
        <f>COUNTIF('Stored Cryptography'!G2:G17,"&lt;&gt;Not Applicable")</f>
        <v>13</v>
      </c>
      <c r="D7" s="11">
        <f t="shared" si="0"/>
        <v>92.307692307692307</v>
      </c>
      <c r="E7" s="12"/>
      <c r="F7" s="14"/>
    </row>
    <row r="8" spans="1:6">
      <c r="A8" s="8" t="s">
        <v>11</v>
      </c>
      <c r="B8" s="9">
        <f>COUNTIF('Error Handling and Logging'!G2:G14,"Valid")</f>
        <v>10</v>
      </c>
      <c r="C8" s="10">
        <f>COUNTIF('Error Handling and Logging'!G2:G14,"&lt;&gt;Not Applicable")</f>
        <v>10</v>
      </c>
      <c r="D8" s="11">
        <f t="shared" si="0"/>
        <v>100</v>
      </c>
      <c r="E8" s="12"/>
    </row>
    <row r="9" spans="1:6">
      <c r="A9" s="8" t="s">
        <v>12</v>
      </c>
      <c r="B9" s="9">
        <f>COUNTIF('Data Protection'!G2:G18,"Valid")</f>
        <v>8</v>
      </c>
      <c r="C9" s="10">
        <f>COUNTIF('Data Protection'!G2:G18,"&lt;&gt;Not Applicable")</f>
        <v>8</v>
      </c>
      <c r="D9" s="11">
        <f t="shared" si="0"/>
        <v>100</v>
      </c>
      <c r="E9" s="12"/>
    </row>
    <row r="10" spans="1:6">
      <c r="A10" s="8" t="s">
        <v>13</v>
      </c>
      <c r="B10" s="9">
        <f>COUNTIF(Communication!G2:G9,"Valid")</f>
        <v>6</v>
      </c>
      <c r="C10" s="10">
        <f>COUNTIF(Communication!G2:G9,"&lt;&gt;Not Applicable")</f>
        <v>6</v>
      </c>
      <c r="D10" s="11">
        <f t="shared" si="0"/>
        <v>100</v>
      </c>
      <c r="E10" s="12"/>
    </row>
    <row r="11" spans="1:6">
      <c r="A11" s="8" t="s">
        <v>14</v>
      </c>
      <c r="B11" s="9">
        <f>COUNTIF('Malicious Code'!G2:G11,"Valid")</f>
        <v>4</v>
      </c>
      <c r="C11" s="10">
        <f>COUNTIF('Malicious Code'!G2:G11,"&lt;&gt;Not Applicable")</f>
        <v>4</v>
      </c>
      <c r="D11" s="11">
        <f t="shared" si="0"/>
        <v>100</v>
      </c>
      <c r="E11" s="12"/>
    </row>
    <row r="12" spans="1:6">
      <c r="A12" s="8" t="s">
        <v>15</v>
      </c>
      <c r="B12" s="9">
        <f>COUNTIF('Business Logic'!G2:G9,"Valid")</f>
        <v>6</v>
      </c>
      <c r="C12" s="10">
        <f>COUNTIF('Business Logic'!G2:G9,"&lt;&gt;Not Applicable")</f>
        <v>6</v>
      </c>
      <c r="D12" s="11">
        <f t="shared" si="0"/>
        <v>100</v>
      </c>
      <c r="E12" s="12"/>
    </row>
    <row r="13" spans="1:6">
      <c r="A13" s="8" t="s">
        <v>16</v>
      </c>
      <c r="B13" s="9">
        <f>COUNTIF('Files and Resources'!G2:G16,"Valid")</f>
        <v>5</v>
      </c>
      <c r="C13" s="10">
        <f>COUNTIF('Files and Resources'!G2:G16,"&lt;&gt;Not Applicable")</f>
        <v>5</v>
      </c>
      <c r="D13" s="11">
        <f t="shared" si="0"/>
        <v>100</v>
      </c>
      <c r="E13" s="12"/>
    </row>
    <row r="14" spans="1:6">
      <c r="A14" s="8" t="s">
        <v>17</v>
      </c>
      <c r="B14" s="9">
        <f>COUNTIF('API and Web Service'!G2:G16,"Valid")</f>
        <v>7</v>
      </c>
      <c r="C14" s="10">
        <f>COUNTIF('API and Web Service'!G2:G16,"&lt;&gt;Not Applicable")</f>
        <v>7</v>
      </c>
      <c r="D14" s="11">
        <f t="shared" si="0"/>
        <v>100</v>
      </c>
      <c r="E14" s="12"/>
    </row>
    <row r="15" spans="1:6">
      <c r="A15" s="8" t="s">
        <v>18</v>
      </c>
      <c r="B15" s="9">
        <f>COUNTIF(Configuration!G2:G26,"Valid")</f>
        <v>16</v>
      </c>
      <c r="C15" s="10">
        <f>COUNTIF(Configuration!G2:G26,"&lt;&gt;Not Applicable")</f>
        <v>16</v>
      </c>
      <c r="D15" s="11">
        <f t="shared" si="0"/>
        <v>100</v>
      </c>
      <c r="E15" s="12"/>
    </row>
    <row r="16" spans="1:6">
      <c r="A16" s="8" t="s">
        <v>19</v>
      </c>
      <c r="B16" s="9">
        <f>SUM(B2:B15)</f>
        <v>145</v>
      </c>
      <c r="C16" s="10">
        <f>SUM(C2:C15)</f>
        <v>149</v>
      </c>
      <c r="D16" s="11">
        <f t="shared" si="0"/>
        <v>97.31543624161074</v>
      </c>
      <c r="E16" s="12"/>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6"/>
  <sheetViews>
    <sheetView topLeftCell="F40" zoomScale="73" zoomScaleNormal="85" workbookViewId="0">
      <selection activeCell="F28" sqref="F28"/>
    </sheetView>
  </sheetViews>
  <sheetFormatPr defaultColWidth="8.7109375" defaultRowHeight="21"/>
  <cols>
    <col min="1" max="1" width="35.42578125" style="3" customWidth="1"/>
    <col min="2" max="2" width="8.7109375" style="15"/>
    <col min="3" max="3" width="10.7109375" style="15" customWidth="1"/>
    <col min="4" max="5" width="8.7109375" style="15"/>
    <col min="6" max="6" width="60.7109375" style="15" customWidth="1"/>
    <col min="7" max="7" width="19.140625" style="15" customWidth="1"/>
    <col min="8" max="8" width="36" style="15" customWidth="1"/>
    <col min="9" max="9" width="31.7109375" style="15" customWidth="1"/>
    <col min="10" max="10" width="41.7109375" style="15" customWidth="1"/>
    <col min="11" max="1024" width="8.7109375" style="15"/>
  </cols>
  <sheetData>
    <row r="1" spans="1:10" s="3" customFormat="1" ht="42">
      <c r="A1" s="16" t="s">
        <v>20</v>
      </c>
      <c r="B1" s="17" t="s">
        <v>21</v>
      </c>
      <c r="C1" s="18" t="s">
        <v>22</v>
      </c>
      <c r="D1" s="18" t="s">
        <v>23</v>
      </c>
      <c r="E1" s="18" t="s">
        <v>24</v>
      </c>
      <c r="F1" s="17" t="s">
        <v>25</v>
      </c>
      <c r="G1" s="17" t="s">
        <v>26</v>
      </c>
      <c r="H1" s="17" t="s">
        <v>27</v>
      </c>
      <c r="I1" s="17" t="s">
        <v>28</v>
      </c>
      <c r="J1" s="17" t="s">
        <v>29</v>
      </c>
    </row>
    <row r="2" spans="1:10" s="25" customFormat="1" ht="58.35" customHeight="1">
      <c r="A2" s="157" t="s">
        <v>30</v>
      </c>
      <c r="B2" s="19" t="s">
        <v>31</v>
      </c>
      <c r="C2" s="20">
        <v>2</v>
      </c>
      <c r="D2" s="21"/>
      <c r="E2" s="22"/>
      <c r="F2" s="23" t="s">
        <v>32</v>
      </c>
      <c r="G2" s="22" t="s">
        <v>26</v>
      </c>
      <c r="H2" s="128" t="s">
        <v>33</v>
      </c>
      <c r="I2" s="128" t="s">
        <v>34</v>
      </c>
      <c r="J2" s="24"/>
    </row>
    <row r="3" spans="1:10" s="25" customFormat="1" ht="126">
      <c r="A3" s="157"/>
      <c r="B3" s="19" t="s">
        <v>35</v>
      </c>
      <c r="C3" s="26">
        <v>2</v>
      </c>
      <c r="D3" s="27">
        <v>1053</v>
      </c>
      <c r="E3" s="28"/>
      <c r="F3" s="29" t="s">
        <v>36</v>
      </c>
      <c r="G3" s="28" t="s">
        <v>26</v>
      </c>
      <c r="H3" s="121" t="s">
        <v>37</v>
      </c>
      <c r="I3" s="122" t="s">
        <v>38</v>
      </c>
      <c r="J3" s="31"/>
    </row>
    <row r="4" spans="1:10" s="25" customFormat="1" ht="63">
      <c r="A4" s="157"/>
      <c r="B4" s="19" t="s">
        <v>39</v>
      </c>
      <c r="C4" s="26">
        <v>2</v>
      </c>
      <c r="D4" s="27">
        <v>1110</v>
      </c>
      <c r="E4" s="28"/>
      <c r="F4" s="29" t="s">
        <v>40</v>
      </c>
      <c r="G4" s="28" t="s">
        <v>26</v>
      </c>
      <c r="H4" s="121" t="s">
        <v>41</v>
      </c>
      <c r="I4" s="122" t="s">
        <v>42</v>
      </c>
      <c r="J4" s="31"/>
    </row>
    <row r="5" spans="1:10" s="25" customFormat="1" ht="63">
      <c r="A5" s="157"/>
      <c r="B5" s="19" t="s">
        <v>43</v>
      </c>
      <c r="C5" s="26">
        <v>2</v>
      </c>
      <c r="D5" s="27">
        <v>1059</v>
      </c>
      <c r="E5" s="28"/>
      <c r="F5" s="29" t="s">
        <v>44</v>
      </c>
      <c r="G5" s="28" t="s">
        <v>26</v>
      </c>
      <c r="H5" s="121" t="s">
        <v>45</v>
      </c>
      <c r="I5" s="122" t="s">
        <v>46</v>
      </c>
      <c r="J5" s="31"/>
    </row>
    <row r="6" spans="1:10" s="25" customFormat="1" ht="63">
      <c r="A6" s="157"/>
      <c r="B6" s="19" t="s">
        <v>47</v>
      </c>
      <c r="C6" s="26">
        <v>2</v>
      </c>
      <c r="D6" s="27">
        <v>1059</v>
      </c>
      <c r="E6" s="28"/>
      <c r="F6" s="29" t="s">
        <v>48</v>
      </c>
      <c r="G6" s="28" t="s">
        <v>26</v>
      </c>
      <c r="H6" s="121" t="s">
        <v>41</v>
      </c>
      <c r="I6" s="122" t="s">
        <v>49</v>
      </c>
      <c r="J6" s="31"/>
    </row>
    <row r="7" spans="1:10" s="25" customFormat="1" ht="78.75">
      <c r="A7" s="157"/>
      <c r="B7" s="19" t="s">
        <v>50</v>
      </c>
      <c r="C7" s="26">
        <v>2</v>
      </c>
      <c r="D7" s="27">
        <v>637</v>
      </c>
      <c r="E7" s="28"/>
      <c r="F7" s="29" t="s">
        <v>51</v>
      </c>
      <c r="G7" s="28" t="s">
        <v>26</v>
      </c>
      <c r="H7" s="121" t="s">
        <v>52</v>
      </c>
      <c r="I7" s="122" t="s">
        <v>53</v>
      </c>
      <c r="J7" s="31"/>
    </row>
    <row r="8" spans="1:10" s="25" customFormat="1" ht="126">
      <c r="A8" s="157"/>
      <c r="B8" s="19" t="s">
        <v>54</v>
      </c>
      <c r="C8" s="26">
        <v>2</v>
      </c>
      <c r="D8" s="27">
        <v>637</v>
      </c>
      <c r="E8" s="28"/>
      <c r="F8" s="29" t="s">
        <v>55</v>
      </c>
      <c r="G8" s="28" t="s">
        <v>26</v>
      </c>
      <c r="H8" s="121" t="s">
        <v>56</v>
      </c>
      <c r="I8" s="122" t="s">
        <v>57</v>
      </c>
      <c r="J8" s="31"/>
    </row>
    <row r="9" spans="1:10" s="25" customFormat="1" ht="63.75" customHeight="1">
      <c r="A9" s="157" t="s">
        <v>58</v>
      </c>
      <c r="B9" s="19" t="s">
        <v>59</v>
      </c>
      <c r="C9" s="26">
        <v>2</v>
      </c>
      <c r="D9" s="27">
        <v>250</v>
      </c>
      <c r="E9" s="28"/>
      <c r="F9" s="29" t="s">
        <v>60</v>
      </c>
      <c r="G9" s="28" t="s">
        <v>26</v>
      </c>
      <c r="H9" s="121" t="s">
        <v>52</v>
      </c>
      <c r="I9" s="122" t="s">
        <v>61</v>
      </c>
      <c r="J9" s="31"/>
    </row>
    <row r="10" spans="1:10" s="25" customFormat="1" ht="78.75">
      <c r="A10" s="157"/>
      <c r="B10" s="19" t="s">
        <v>62</v>
      </c>
      <c r="C10" s="26">
        <v>2</v>
      </c>
      <c r="D10" s="27">
        <v>306</v>
      </c>
      <c r="E10" s="28"/>
      <c r="F10" s="29" t="s">
        <v>63</v>
      </c>
      <c r="G10" s="28" t="s">
        <v>26</v>
      </c>
      <c r="H10" s="121" t="s">
        <v>64</v>
      </c>
      <c r="I10" s="122" t="s">
        <v>65</v>
      </c>
      <c r="J10" s="31"/>
    </row>
    <row r="11" spans="1:10" s="25" customFormat="1" ht="63">
      <c r="A11" s="157"/>
      <c r="B11" s="19" t="s">
        <v>66</v>
      </c>
      <c r="C11" s="26">
        <v>2</v>
      </c>
      <c r="D11" s="27">
        <v>306</v>
      </c>
      <c r="E11" s="28"/>
      <c r="F11" s="29" t="s">
        <v>67</v>
      </c>
      <c r="G11" s="28" t="s">
        <v>26</v>
      </c>
      <c r="H11" s="125" t="s">
        <v>64</v>
      </c>
      <c r="I11" s="25" t="s">
        <v>68</v>
      </c>
      <c r="J11" s="31"/>
    </row>
    <row r="12" spans="1:10" s="25" customFormat="1" ht="63">
      <c r="A12" s="157"/>
      <c r="B12" s="19" t="s">
        <v>69</v>
      </c>
      <c r="C12" s="26">
        <v>2</v>
      </c>
      <c r="D12" s="27">
        <v>306</v>
      </c>
      <c r="E12" s="28"/>
      <c r="F12" s="29" t="s">
        <v>70</v>
      </c>
      <c r="G12" s="28" t="s">
        <v>26</v>
      </c>
      <c r="H12" s="123" t="s">
        <v>71</v>
      </c>
      <c r="I12" s="30" t="s">
        <v>72</v>
      </c>
      <c r="J12" s="31"/>
    </row>
    <row r="13" spans="1:10" s="25" customFormat="1" ht="42">
      <c r="A13" s="1" t="s">
        <v>73</v>
      </c>
      <c r="B13" s="19"/>
      <c r="C13" s="26"/>
      <c r="D13" s="27"/>
      <c r="E13" s="28"/>
      <c r="F13" s="29" t="s">
        <v>74</v>
      </c>
      <c r="G13" s="28" t="s">
        <v>75</v>
      </c>
      <c r="H13" s="123"/>
      <c r="I13" s="30"/>
      <c r="J13" s="31"/>
    </row>
    <row r="14" spans="1:10" s="25" customFormat="1" ht="48" customHeight="1">
      <c r="A14" s="157" t="s">
        <v>76</v>
      </c>
      <c r="B14" s="19" t="s">
        <v>77</v>
      </c>
      <c r="C14" s="26">
        <v>2</v>
      </c>
      <c r="D14" s="27">
        <v>602</v>
      </c>
      <c r="E14" s="28"/>
      <c r="F14" s="29" t="s">
        <v>78</v>
      </c>
      <c r="G14" s="28" t="s">
        <v>26</v>
      </c>
      <c r="H14" s="124" t="s">
        <v>64</v>
      </c>
      <c r="I14" s="30" t="s">
        <v>79</v>
      </c>
      <c r="J14" s="32"/>
    </row>
    <row r="15" spans="1:10" s="25" customFormat="1" ht="15.75">
      <c r="A15" s="157"/>
      <c r="B15" s="19" t="s">
        <v>80</v>
      </c>
      <c r="C15" s="26">
        <v>2</v>
      </c>
      <c r="D15" s="27">
        <v>284</v>
      </c>
      <c r="E15" s="28"/>
      <c r="F15" s="29" t="s">
        <v>81</v>
      </c>
      <c r="G15" s="28" t="s">
        <v>75</v>
      </c>
      <c r="H15" s="28"/>
      <c r="I15" s="28"/>
      <c r="J15" s="32"/>
    </row>
    <row r="16" spans="1:10" s="25" customFormat="1" ht="15.75">
      <c r="A16" s="157"/>
      <c r="B16" s="19" t="s">
        <v>82</v>
      </c>
      <c r="C16" s="26">
        <v>2</v>
      </c>
      <c r="D16" s="27">
        <v>272</v>
      </c>
      <c r="E16" s="28"/>
      <c r="F16" s="29" t="s">
        <v>83</v>
      </c>
      <c r="G16" s="28" t="s">
        <v>75</v>
      </c>
      <c r="H16" s="28"/>
      <c r="I16" s="28"/>
      <c r="J16" s="32"/>
    </row>
    <row r="17" spans="1:10" s="25" customFormat="1" ht="95.25" thickBot="1">
      <c r="A17" s="157"/>
      <c r="B17" s="19" t="s">
        <v>84</v>
      </c>
      <c r="C17" s="26">
        <v>2</v>
      </c>
      <c r="D17" s="27">
        <v>284</v>
      </c>
      <c r="E17" s="28"/>
      <c r="F17" s="29" t="s">
        <v>85</v>
      </c>
      <c r="G17" s="28" t="s">
        <v>26</v>
      </c>
      <c r="H17" s="124" t="s">
        <v>71</v>
      </c>
      <c r="I17" s="30" t="s">
        <v>86</v>
      </c>
      <c r="J17" s="32"/>
    </row>
    <row r="18" spans="1:10" s="25" customFormat="1" ht="95.25" thickBot="1">
      <c r="A18" s="157"/>
      <c r="B18" s="19" t="s">
        <v>87</v>
      </c>
      <c r="C18" s="26">
        <v>2</v>
      </c>
      <c r="D18" s="27">
        <v>275</v>
      </c>
      <c r="E18" s="28"/>
      <c r="F18" s="29" t="s">
        <v>88</v>
      </c>
      <c r="G18" s="28" t="s">
        <v>26</v>
      </c>
      <c r="H18" s="124" t="s">
        <v>89</v>
      </c>
      <c r="I18" s="28" t="s">
        <v>90</v>
      </c>
      <c r="J18" s="32"/>
    </row>
    <row r="19" spans="1:10" s="25" customFormat="1" ht="48" customHeight="1" thickBot="1">
      <c r="A19" s="157" t="s">
        <v>91</v>
      </c>
      <c r="B19" s="19" t="s">
        <v>92</v>
      </c>
      <c r="C19" s="26">
        <v>2</v>
      </c>
      <c r="D19" s="27">
        <v>1029</v>
      </c>
      <c r="E19" s="28"/>
      <c r="F19" s="29" t="s">
        <v>93</v>
      </c>
      <c r="G19" s="28" t="s">
        <v>26</v>
      </c>
      <c r="H19" s="28" t="s">
        <v>94</v>
      </c>
      <c r="I19" s="28" t="s">
        <v>95</v>
      </c>
      <c r="J19" s="32"/>
    </row>
    <row r="20" spans="1:10" s="25" customFormat="1" ht="78.75">
      <c r="A20" s="157"/>
      <c r="B20" s="19" t="s">
        <v>96</v>
      </c>
      <c r="C20" s="26">
        <v>2</v>
      </c>
      <c r="D20" s="27">
        <v>502</v>
      </c>
      <c r="E20" s="28"/>
      <c r="F20" s="29" t="s">
        <v>97</v>
      </c>
      <c r="G20" s="28" t="s">
        <v>75</v>
      </c>
      <c r="H20" s="28"/>
      <c r="I20" s="28"/>
      <c r="J20" s="32"/>
    </row>
    <row r="21" spans="1:10" s="25" customFormat="1" ht="47.25">
      <c r="A21" s="157"/>
      <c r="B21" s="19" t="s">
        <v>98</v>
      </c>
      <c r="C21" s="26">
        <v>2</v>
      </c>
      <c r="D21" s="27">
        <v>602</v>
      </c>
      <c r="E21" s="28"/>
      <c r="F21" s="29" t="s">
        <v>99</v>
      </c>
      <c r="G21" s="28" t="s">
        <v>26</v>
      </c>
      <c r="H21" s="28" t="s">
        <v>100</v>
      </c>
      <c r="I21" s="28" t="s">
        <v>101</v>
      </c>
      <c r="J21" s="32"/>
    </row>
    <row r="22" spans="1:10" s="25" customFormat="1" ht="63">
      <c r="A22" s="157"/>
      <c r="B22" s="19" t="s">
        <v>102</v>
      </c>
      <c r="C22" s="26">
        <v>2</v>
      </c>
      <c r="D22" s="27">
        <v>116</v>
      </c>
      <c r="E22" s="28"/>
      <c r="F22" s="29" t="s">
        <v>103</v>
      </c>
      <c r="G22" s="28" t="s">
        <v>75</v>
      </c>
      <c r="H22" s="28"/>
      <c r="I22" s="28"/>
      <c r="J22" s="32"/>
    </row>
    <row r="23" spans="1:10" s="25" customFormat="1" ht="48" customHeight="1">
      <c r="A23" s="157" t="s">
        <v>104</v>
      </c>
      <c r="B23" s="19" t="s">
        <v>105</v>
      </c>
      <c r="C23" s="26">
        <v>2</v>
      </c>
      <c r="D23" s="27">
        <v>320</v>
      </c>
      <c r="E23" s="28"/>
      <c r="F23" s="29" t="s">
        <v>106</v>
      </c>
      <c r="G23" s="28" t="s">
        <v>26</v>
      </c>
      <c r="H23" s="124" t="s">
        <v>64</v>
      </c>
      <c r="I23" s="28" t="s">
        <v>107</v>
      </c>
      <c r="J23" s="32"/>
    </row>
    <row r="24" spans="1:10" s="25" customFormat="1" ht="47.25">
      <c r="A24" s="157"/>
      <c r="B24" s="19" t="s">
        <v>108</v>
      </c>
      <c r="C24" s="26">
        <v>2</v>
      </c>
      <c r="D24" s="27">
        <v>320</v>
      </c>
      <c r="E24" s="28"/>
      <c r="F24" s="29" t="s">
        <v>109</v>
      </c>
      <c r="G24" s="28" t="s">
        <v>26</v>
      </c>
      <c r="H24" s="124" t="s">
        <v>64</v>
      </c>
      <c r="I24" s="28" t="s">
        <v>107</v>
      </c>
      <c r="J24" s="32"/>
    </row>
    <row r="25" spans="1:10" s="25" customFormat="1" ht="31.5">
      <c r="A25" s="157"/>
      <c r="B25" s="19" t="s">
        <v>110</v>
      </c>
      <c r="C25" s="26">
        <v>2</v>
      </c>
      <c r="D25" s="27">
        <v>320</v>
      </c>
      <c r="E25" s="28"/>
      <c r="F25" s="29" t="s">
        <v>111</v>
      </c>
      <c r="G25" s="28" t="s">
        <v>112</v>
      </c>
      <c r="H25" s="28"/>
      <c r="I25" s="28"/>
      <c r="J25" s="32"/>
    </row>
    <row r="26" spans="1:10" s="25" customFormat="1" ht="47.25">
      <c r="A26" s="157"/>
      <c r="B26" s="19" t="s">
        <v>113</v>
      </c>
      <c r="C26" s="26">
        <v>2</v>
      </c>
      <c r="D26" s="27">
        <v>320</v>
      </c>
      <c r="E26" s="28"/>
      <c r="F26" s="30" t="s">
        <v>114</v>
      </c>
      <c r="G26" s="28" t="s">
        <v>75</v>
      </c>
      <c r="H26" s="28"/>
      <c r="I26" s="28"/>
      <c r="J26" s="32"/>
    </row>
    <row r="27" spans="1:10" s="25" customFormat="1" ht="67.5" customHeight="1">
      <c r="A27" s="157" t="s">
        <v>115</v>
      </c>
      <c r="B27" s="19" t="s">
        <v>116</v>
      </c>
      <c r="C27" s="26">
        <v>2</v>
      </c>
      <c r="D27" s="27">
        <v>1009</v>
      </c>
      <c r="E27" s="28"/>
      <c r="F27" s="29" t="s">
        <v>117</v>
      </c>
      <c r="G27" s="28" t="s">
        <v>75</v>
      </c>
      <c r="H27" s="28"/>
      <c r="I27" s="28"/>
      <c r="J27" s="32"/>
    </row>
    <row r="28" spans="1:10" s="25" customFormat="1" ht="63">
      <c r="A28" s="157"/>
      <c r="B28" s="19" t="s">
        <v>118</v>
      </c>
      <c r="C28" s="26">
        <v>2</v>
      </c>
      <c r="D28" s="27"/>
      <c r="E28" s="28"/>
      <c r="F28" s="29" t="s">
        <v>119</v>
      </c>
      <c r="G28" s="28" t="s">
        <v>75</v>
      </c>
      <c r="H28" s="28"/>
      <c r="I28" s="28"/>
      <c r="J28" s="32"/>
    </row>
    <row r="29" spans="1:10" s="25" customFormat="1" ht="32.25" customHeight="1">
      <c r="A29" s="157" t="s">
        <v>120</v>
      </c>
      <c r="B29" s="19" t="s">
        <v>121</v>
      </c>
      <c r="C29" s="26">
        <v>2</v>
      </c>
      <c r="D29" s="27"/>
      <c r="E29" s="28"/>
      <c r="F29" s="29" t="s">
        <v>122</v>
      </c>
      <c r="G29" s="28" t="s">
        <v>75</v>
      </c>
      <c r="H29" s="28"/>
      <c r="I29" s="28"/>
      <c r="J29" s="32"/>
    </row>
    <row r="30" spans="1:10" s="25" customFormat="1" ht="80.25" customHeight="1">
      <c r="A30" s="157"/>
      <c r="B30" s="19" t="s">
        <v>123</v>
      </c>
      <c r="C30" s="26">
        <v>2</v>
      </c>
      <c r="D30" s="27"/>
      <c r="E30" s="28"/>
      <c r="F30" s="29" t="s">
        <v>124</v>
      </c>
      <c r="G30" s="28" t="s">
        <v>75</v>
      </c>
      <c r="H30" s="28"/>
      <c r="I30" s="28"/>
      <c r="J30" s="32"/>
    </row>
    <row r="31" spans="1:10" s="25" customFormat="1" ht="79.5" customHeight="1">
      <c r="A31" s="157" t="s">
        <v>125</v>
      </c>
      <c r="B31" s="19" t="s">
        <v>126</v>
      </c>
      <c r="C31" s="26">
        <v>2</v>
      </c>
      <c r="D31" s="27">
        <v>319</v>
      </c>
      <c r="E31" s="28"/>
      <c r="F31" s="29" t="s">
        <v>127</v>
      </c>
      <c r="G31" s="28" t="s">
        <v>112</v>
      </c>
      <c r="H31" s="28" t="s">
        <v>64</v>
      </c>
      <c r="I31" s="30" t="s">
        <v>128</v>
      </c>
      <c r="J31" s="32"/>
    </row>
    <row r="32" spans="1:10" s="25" customFormat="1" ht="63">
      <c r="A32" s="157"/>
      <c r="B32" s="19" t="s">
        <v>129</v>
      </c>
      <c r="C32" s="26">
        <v>2</v>
      </c>
      <c r="D32" s="27">
        <v>295</v>
      </c>
      <c r="E32" s="28"/>
      <c r="F32" s="29" t="s">
        <v>130</v>
      </c>
      <c r="G32" s="28" t="s">
        <v>112</v>
      </c>
      <c r="H32" s="124" t="s">
        <v>64</v>
      </c>
      <c r="I32" s="28" t="s">
        <v>131</v>
      </c>
      <c r="J32" s="32"/>
    </row>
    <row r="33" spans="1:10" s="25" customFormat="1" ht="78.75">
      <c r="A33" s="1" t="s">
        <v>132</v>
      </c>
      <c r="B33" s="19" t="s">
        <v>133</v>
      </c>
      <c r="C33" s="26">
        <v>2</v>
      </c>
      <c r="D33" s="27">
        <v>284</v>
      </c>
      <c r="E33" s="28"/>
      <c r="F33" s="29" t="s">
        <v>134</v>
      </c>
      <c r="G33" s="28" t="s">
        <v>26</v>
      </c>
      <c r="H33" s="28" t="s">
        <v>135</v>
      </c>
      <c r="I33" s="28" t="s">
        <v>136</v>
      </c>
      <c r="J33" s="32"/>
    </row>
    <row r="34" spans="1:10" s="25" customFormat="1" ht="48" customHeight="1">
      <c r="A34" s="157" t="s">
        <v>137</v>
      </c>
      <c r="B34" s="19" t="s">
        <v>138</v>
      </c>
      <c r="C34" s="26">
        <v>2</v>
      </c>
      <c r="D34" s="27">
        <v>1059</v>
      </c>
      <c r="E34" s="28"/>
      <c r="F34" s="29" t="s">
        <v>139</v>
      </c>
      <c r="G34" s="28" t="s">
        <v>26</v>
      </c>
      <c r="H34" s="28" t="s">
        <v>140</v>
      </c>
      <c r="I34" s="28" t="s">
        <v>141</v>
      </c>
      <c r="J34" s="32"/>
    </row>
    <row r="35" spans="1:10" s="25" customFormat="1" ht="47.25">
      <c r="A35" s="157"/>
      <c r="B35" s="19" t="s">
        <v>142</v>
      </c>
      <c r="C35" s="26">
        <v>2</v>
      </c>
      <c r="D35" s="27">
        <v>362</v>
      </c>
      <c r="E35" s="28"/>
      <c r="F35" s="29" t="s">
        <v>143</v>
      </c>
      <c r="G35" s="28" t="s">
        <v>26</v>
      </c>
      <c r="H35" s="124" t="s">
        <v>64</v>
      </c>
      <c r="I35" s="28" t="s">
        <v>144</v>
      </c>
      <c r="J35" s="32"/>
    </row>
    <row r="36" spans="1:10" s="25" customFormat="1" ht="63">
      <c r="A36" s="157"/>
      <c r="B36" s="19" t="s">
        <v>145</v>
      </c>
      <c r="C36" s="26">
        <v>2</v>
      </c>
      <c r="D36" s="27">
        <v>367</v>
      </c>
      <c r="E36" s="28"/>
      <c r="F36" s="29" t="s">
        <v>146</v>
      </c>
      <c r="G36" s="28" t="s">
        <v>26</v>
      </c>
      <c r="H36" s="124" t="s">
        <v>64</v>
      </c>
      <c r="I36" s="28" t="s">
        <v>147</v>
      </c>
      <c r="J36" s="32"/>
    </row>
    <row r="37" spans="1:10" s="25" customFormat="1" ht="16.5" customHeight="1">
      <c r="A37" s="157" t="s">
        <v>148</v>
      </c>
      <c r="B37" s="19" t="s">
        <v>149</v>
      </c>
      <c r="C37" s="26">
        <v>2</v>
      </c>
      <c r="D37" s="27">
        <v>552</v>
      </c>
      <c r="E37" s="28"/>
      <c r="F37" s="29" t="s">
        <v>150</v>
      </c>
      <c r="G37" s="28" t="s">
        <v>75</v>
      </c>
      <c r="H37" s="28"/>
      <c r="I37" s="28"/>
      <c r="J37" s="32"/>
    </row>
    <row r="38" spans="1:10" s="25" customFormat="1" ht="94.5">
      <c r="A38" s="157"/>
      <c r="B38" s="19" t="s">
        <v>151</v>
      </c>
      <c r="C38" s="26">
        <v>2</v>
      </c>
      <c r="D38" s="27">
        <v>646</v>
      </c>
      <c r="E38" s="28"/>
      <c r="F38" s="29" t="s">
        <v>152</v>
      </c>
      <c r="G38" s="28" t="s">
        <v>26</v>
      </c>
      <c r="H38" s="28" t="s">
        <v>153</v>
      </c>
      <c r="I38" s="127" t="s">
        <v>154</v>
      </c>
      <c r="J38" s="32"/>
    </row>
    <row r="39" spans="1:10" s="25" customFormat="1">
      <c r="A39" s="1" t="s">
        <v>155</v>
      </c>
      <c r="B39" s="19"/>
      <c r="C39" s="26"/>
      <c r="D39" s="27"/>
      <c r="E39" s="28"/>
      <c r="F39" s="29" t="s">
        <v>74</v>
      </c>
      <c r="G39" s="28" t="s">
        <v>75</v>
      </c>
      <c r="H39" s="28"/>
      <c r="I39" s="28"/>
      <c r="J39" s="32"/>
    </row>
    <row r="40" spans="1:10" s="25" customFormat="1" ht="59.1" customHeight="1">
      <c r="A40" s="157" t="s">
        <v>156</v>
      </c>
      <c r="B40" s="19" t="s">
        <v>157</v>
      </c>
      <c r="C40" s="26">
        <v>2</v>
      </c>
      <c r="D40" s="27">
        <v>923</v>
      </c>
      <c r="E40" s="28"/>
      <c r="F40" s="29" t="s">
        <v>158</v>
      </c>
      <c r="G40" s="28" t="s">
        <v>26</v>
      </c>
      <c r="H40" s="28" t="s">
        <v>64</v>
      </c>
      <c r="I40" s="28" t="s">
        <v>159</v>
      </c>
      <c r="J40" s="32"/>
    </row>
    <row r="41" spans="1:10" s="25" customFormat="1" ht="32.25" thickBot="1">
      <c r="A41" s="157"/>
      <c r="B41" s="19" t="s">
        <v>160</v>
      </c>
      <c r="C41" s="26">
        <v>2</v>
      </c>
      <c r="D41" s="27">
        <v>494</v>
      </c>
      <c r="E41" s="28"/>
      <c r="F41" s="29" t="s">
        <v>161</v>
      </c>
      <c r="G41" s="28" t="s">
        <v>75</v>
      </c>
      <c r="H41" s="28"/>
      <c r="I41" s="28"/>
      <c r="J41" s="32"/>
    </row>
    <row r="42" spans="1:10" s="25" customFormat="1" ht="32.25" thickBot="1">
      <c r="A42" s="157"/>
      <c r="B42" s="19" t="s">
        <v>162</v>
      </c>
      <c r="C42" s="26">
        <v>2</v>
      </c>
      <c r="D42" s="27">
        <v>1104</v>
      </c>
      <c r="E42" s="28"/>
      <c r="F42" s="29" t="s">
        <v>163</v>
      </c>
      <c r="G42" s="28" t="s">
        <v>26</v>
      </c>
      <c r="H42" s="28" t="s">
        <v>164</v>
      </c>
      <c r="I42" s="30"/>
      <c r="J42" s="32"/>
    </row>
    <row r="43" spans="1:10" s="25" customFormat="1" ht="63.75" thickBot="1">
      <c r="A43" s="157"/>
      <c r="B43" s="19" t="s">
        <v>165</v>
      </c>
      <c r="C43" s="26">
        <v>2</v>
      </c>
      <c r="D43" s="27"/>
      <c r="E43" s="28"/>
      <c r="F43" s="29" t="s">
        <v>166</v>
      </c>
      <c r="G43" s="25" t="s">
        <v>26</v>
      </c>
      <c r="H43" s="28" t="s">
        <v>164</v>
      </c>
      <c r="I43" s="30"/>
      <c r="J43" s="32"/>
    </row>
    <row r="44" spans="1:10" s="25" customFormat="1" ht="95.25" thickBot="1">
      <c r="A44" s="157"/>
      <c r="B44" s="19" t="s">
        <v>167</v>
      </c>
      <c r="C44" s="26">
        <v>2</v>
      </c>
      <c r="D44" s="27">
        <v>265</v>
      </c>
      <c r="E44" s="28"/>
      <c r="F44" s="29" t="s">
        <v>168</v>
      </c>
      <c r="G44" s="25" t="s">
        <v>75</v>
      </c>
      <c r="H44" s="28"/>
      <c r="I44" s="120"/>
      <c r="J44" s="32"/>
    </row>
    <row r="45" spans="1:10" s="25" customFormat="1" ht="63.75" thickBot="1">
      <c r="A45" s="157"/>
      <c r="B45" s="19" t="s">
        <v>169</v>
      </c>
      <c r="C45" s="33">
        <v>2</v>
      </c>
      <c r="D45" s="34">
        <v>477</v>
      </c>
      <c r="E45" s="35"/>
      <c r="F45" s="36" t="s">
        <v>170</v>
      </c>
      <c r="G45" s="35" t="s">
        <v>75</v>
      </c>
      <c r="H45" s="35"/>
      <c r="I45" s="126"/>
      <c r="J45" s="37"/>
    </row>
    <row r="46" spans="1:10" ht="21.75" thickBot="1">
      <c r="I46" s="35"/>
    </row>
  </sheetData>
  <mergeCells count="11">
    <mergeCell ref="A2:A8"/>
    <mergeCell ref="A9:A12"/>
    <mergeCell ref="A14:A18"/>
    <mergeCell ref="A19:A22"/>
    <mergeCell ref="A23:A26"/>
    <mergeCell ref="A40:A45"/>
    <mergeCell ref="A27:A28"/>
    <mergeCell ref="A29:A30"/>
    <mergeCell ref="A31:A32"/>
    <mergeCell ref="A34:A36"/>
    <mergeCell ref="A37:A38"/>
  </mergeCells>
  <dataValidations count="1">
    <dataValidation type="list" operator="equal" showErrorMessage="1" sqref="G2:G45 H44" xr:uid="{00000000-0002-0000-0100-000000000000}">
      <formula1>"Valid,Non-valid,Not Applicable"</formula1>
      <formula2>0</formula2>
    </dataValidation>
  </dataValidations>
  <hyperlinks>
    <hyperlink ref="H12" r:id="rId1" xr:uid="{6A38D434-0A58-4D2B-8474-F5E156F684E5}"/>
    <hyperlink ref="H14" r:id="rId2" xr:uid="{72B9E7DE-C4DD-4D40-9049-2B34012EA12D}"/>
    <hyperlink ref="H17" r:id="rId3" xr:uid="{D5DF79BA-8BE8-4E74-BD5F-3F93A464AE89}"/>
    <hyperlink ref="H11" r:id="rId4" xr:uid="{CB9DF0B9-8872-49AC-8C83-A30201F34CC4}"/>
    <hyperlink ref="H32" r:id="rId5" xr:uid="{A28A720E-8F05-45EB-9046-4B5CF7520942}"/>
    <hyperlink ref="H35" r:id="rId6" xr:uid="{8468346C-F2CE-427E-96C8-4161D83BB81A}"/>
    <hyperlink ref="H36" r:id="rId7" xr:uid="{E718B82F-EC0C-4FF3-89E9-3B0580C87137}"/>
    <hyperlink ref="H24" r:id="rId8" xr:uid="{326C8A1D-DC65-304D-8236-C35586E29922}"/>
    <hyperlink ref="H23" r:id="rId9" xr:uid="{2EC6B888-5063-B54D-9640-DF0416E8A83A}"/>
    <hyperlink ref="H18" r:id="rId10" xr:uid="{1F59ACA5-4B3D-F048-9089-FF158290461C}"/>
  </hyperlinks>
  <pageMargins left="0.78749999999999998" right="0.78749999999999998" top="1.0249999999999999" bottom="1.0249999999999999" header="0.78749999999999998" footer="0.78749999999999998"/>
  <pageSetup paperSize="9" firstPageNumber="0" orientation="portrait" horizontalDpi="300" verticalDpi="30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8"/>
  <sheetViews>
    <sheetView tabSelected="1" topLeftCell="A27" zoomScale="97" zoomScaleNormal="95" workbookViewId="0">
      <selection activeCell="G29" sqref="G29"/>
    </sheetView>
  </sheetViews>
  <sheetFormatPr defaultColWidth="8.7109375" defaultRowHeight="21"/>
  <cols>
    <col min="1" max="1" width="34.28515625" style="3" customWidth="1"/>
    <col min="2" max="2" width="8.7109375" style="38"/>
    <col min="3" max="3" width="14.7109375" style="39" customWidth="1"/>
    <col min="4" max="5" width="8.7109375" style="39"/>
    <col min="6" max="6" width="73" style="15" customWidth="1"/>
    <col min="7" max="7" width="25.42578125" style="15" customWidth="1"/>
    <col min="8" max="8" width="30.28515625" style="15" customWidth="1"/>
    <col min="9" max="9" width="33.42578125" style="15" customWidth="1"/>
    <col min="10" max="10" width="29" style="15" customWidth="1"/>
    <col min="11" max="1024" width="8.7109375" style="15"/>
  </cols>
  <sheetData>
    <row r="1" spans="1:10" s="43" customFormat="1">
      <c r="A1" s="40" t="s">
        <v>20</v>
      </c>
      <c r="B1" s="41" t="s">
        <v>21</v>
      </c>
      <c r="C1" s="41" t="s">
        <v>22</v>
      </c>
      <c r="D1" s="41" t="s">
        <v>23</v>
      </c>
      <c r="E1" s="41" t="s">
        <v>24</v>
      </c>
      <c r="F1" s="42" t="s">
        <v>25</v>
      </c>
      <c r="G1" s="42" t="s">
        <v>26</v>
      </c>
      <c r="H1" s="42" t="s">
        <v>27</v>
      </c>
      <c r="I1" s="42" t="s">
        <v>28</v>
      </c>
      <c r="J1" s="42" t="s">
        <v>29</v>
      </c>
    </row>
    <row r="2" spans="1:10" s="25" customFormat="1" ht="48" customHeight="1">
      <c r="A2" s="158" t="s">
        <v>171</v>
      </c>
      <c r="B2" s="44" t="s">
        <v>172</v>
      </c>
      <c r="C2" s="45">
        <v>1</v>
      </c>
      <c r="D2" s="46">
        <v>521</v>
      </c>
      <c r="E2" s="47" t="s">
        <v>173</v>
      </c>
      <c r="F2" s="48" t="s">
        <v>174</v>
      </c>
      <c r="G2" s="49" t="s">
        <v>26</v>
      </c>
      <c r="H2" s="50" t="s">
        <v>175</v>
      </c>
      <c r="I2" s="50" t="s">
        <v>176</v>
      </c>
      <c r="J2" s="51"/>
    </row>
    <row r="3" spans="1:10" s="25" customFormat="1" ht="47.25">
      <c r="A3" s="158"/>
      <c r="B3" s="44" t="s">
        <v>177</v>
      </c>
      <c r="C3" s="52">
        <v>1</v>
      </c>
      <c r="D3" s="53">
        <v>521</v>
      </c>
      <c r="E3" s="27" t="s">
        <v>173</v>
      </c>
      <c r="F3" s="29" t="s">
        <v>178</v>
      </c>
      <c r="G3" s="28" t="s">
        <v>75</v>
      </c>
      <c r="H3" s="30"/>
      <c r="I3" s="30"/>
      <c r="J3" s="31"/>
    </row>
    <row r="4" spans="1:10" s="25" customFormat="1" ht="64.5">
      <c r="A4" s="158"/>
      <c r="B4" s="44" t="s">
        <v>179</v>
      </c>
      <c r="C4" s="52">
        <v>1</v>
      </c>
      <c r="D4" s="53">
        <v>521</v>
      </c>
      <c r="E4" s="27" t="s">
        <v>173</v>
      </c>
      <c r="F4" s="29" t="s">
        <v>180</v>
      </c>
      <c r="G4" s="28" t="s">
        <v>26</v>
      </c>
      <c r="H4" s="123" t="s">
        <v>175</v>
      </c>
      <c r="I4" s="30" t="s">
        <v>181</v>
      </c>
      <c r="J4" s="31"/>
    </row>
    <row r="5" spans="1:10" s="25" customFormat="1" ht="113.25">
      <c r="A5" s="158"/>
      <c r="B5" s="44" t="s">
        <v>182</v>
      </c>
      <c r="C5" s="52">
        <v>1</v>
      </c>
      <c r="D5" s="53">
        <v>521</v>
      </c>
      <c r="E5" s="27" t="s">
        <v>173</v>
      </c>
      <c r="F5" s="29" t="s">
        <v>183</v>
      </c>
      <c r="G5" s="28" t="s">
        <v>26</v>
      </c>
      <c r="H5" s="30" t="s">
        <v>175</v>
      </c>
      <c r="I5" s="30" t="s">
        <v>184</v>
      </c>
      <c r="J5" s="31"/>
    </row>
    <row r="6" spans="1:10" s="25" customFormat="1" ht="94.5">
      <c r="A6" s="158"/>
      <c r="B6" s="44" t="s">
        <v>185</v>
      </c>
      <c r="C6" s="52">
        <v>1</v>
      </c>
      <c r="D6" s="53">
        <v>620</v>
      </c>
      <c r="E6" s="27" t="s">
        <v>173</v>
      </c>
      <c r="F6" s="29" t="s">
        <v>186</v>
      </c>
      <c r="G6" s="28" t="s">
        <v>26</v>
      </c>
      <c r="H6" s="30" t="s">
        <v>187</v>
      </c>
      <c r="I6" s="30" t="s">
        <v>188</v>
      </c>
      <c r="J6" s="31"/>
    </row>
    <row r="7" spans="1:10" s="25" customFormat="1" ht="94.5">
      <c r="A7" s="158"/>
      <c r="B7" s="44" t="s">
        <v>189</v>
      </c>
      <c r="C7" s="52">
        <v>1</v>
      </c>
      <c r="D7" s="53">
        <v>620</v>
      </c>
      <c r="E7" s="27" t="s">
        <v>173</v>
      </c>
      <c r="F7" s="29" t="s">
        <v>190</v>
      </c>
      <c r="G7" s="28" t="s">
        <v>26</v>
      </c>
      <c r="H7" s="30" t="s">
        <v>191</v>
      </c>
      <c r="I7" s="30" t="s">
        <v>188</v>
      </c>
      <c r="J7" s="31"/>
    </row>
    <row r="8" spans="1:10" s="25" customFormat="1" ht="141.75">
      <c r="A8" s="158"/>
      <c r="B8" s="44" t="s">
        <v>192</v>
      </c>
      <c r="C8" s="52">
        <v>1</v>
      </c>
      <c r="D8" s="53">
        <v>521</v>
      </c>
      <c r="E8" s="27" t="s">
        <v>173</v>
      </c>
      <c r="F8" s="29" t="s">
        <v>193</v>
      </c>
      <c r="G8" s="28" t="s">
        <v>75</v>
      </c>
      <c r="H8" s="30"/>
      <c r="I8" s="30"/>
      <c r="J8" s="31"/>
    </row>
    <row r="9" spans="1:10" s="25" customFormat="1" ht="31.5">
      <c r="A9" s="158"/>
      <c r="B9" s="44" t="s">
        <v>194</v>
      </c>
      <c r="C9" s="52">
        <v>1</v>
      </c>
      <c r="D9" s="53">
        <v>521</v>
      </c>
      <c r="E9" s="27" t="s">
        <v>173</v>
      </c>
      <c r="F9" s="29" t="s">
        <v>195</v>
      </c>
      <c r="G9" s="28" t="s">
        <v>75</v>
      </c>
      <c r="H9" s="30"/>
      <c r="I9" s="30"/>
      <c r="J9" s="31"/>
    </row>
    <row r="10" spans="1:10" s="25" customFormat="1" ht="94.5">
      <c r="A10" s="158"/>
      <c r="B10" s="44" t="s">
        <v>196</v>
      </c>
      <c r="C10" s="52">
        <v>1</v>
      </c>
      <c r="D10" s="53">
        <v>521</v>
      </c>
      <c r="E10" s="27" t="s">
        <v>173</v>
      </c>
      <c r="F10" s="29" t="s">
        <v>197</v>
      </c>
      <c r="G10" s="28" t="s">
        <v>26</v>
      </c>
      <c r="H10" s="30" t="s">
        <v>198</v>
      </c>
      <c r="I10" s="30" t="s">
        <v>199</v>
      </c>
      <c r="J10" s="31"/>
    </row>
    <row r="11" spans="1:10" s="25" customFormat="1" ht="94.5">
      <c r="A11" s="158"/>
      <c r="B11" s="44" t="s">
        <v>200</v>
      </c>
      <c r="C11" s="52">
        <v>1</v>
      </c>
      <c r="D11" s="53">
        <v>263</v>
      </c>
      <c r="E11" s="27" t="s">
        <v>173</v>
      </c>
      <c r="F11" s="29" t="s">
        <v>201</v>
      </c>
      <c r="G11" s="28" t="s">
        <v>26</v>
      </c>
      <c r="H11" s="30" t="s">
        <v>191</v>
      </c>
      <c r="I11" s="30" t="s">
        <v>188</v>
      </c>
      <c r="J11" s="31"/>
    </row>
    <row r="12" spans="1:10" s="25" customFormat="1" ht="31.5">
      <c r="A12" s="158"/>
      <c r="B12" s="44" t="s">
        <v>202</v>
      </c>
      <c r="C12" s="52">
        <v>1</v>
      </c>
      <c r="D12" s="53">
        <v>521</v>
      </c>
      <c r="E12" s="27" t="s">
        <v>173</v>
      </c>
      <c r="F12" s="29" t="s">
        <v>203</v>
      </c>
      <c r="G12" s="28" t="s">
        <v>75</v>
      </c>
      <c r="H12" s="30"/>
      <c r="I12" s="30"/>
      <c r="J12" s="31"/>
    </row>
    <row r="13" spans="1:10" s="25" customFormat="1" ht="47.25">
      <c r="A13" s="158"/>
      <c r="B13" s="44" t="s">
        <v>204</v>
      </c>
      <c r="C13" s="52">
        <v>1</v>
      </c>
      <c r="D13" s="53">
        <v>521</v>
      </c>
      <c r="E13" s="27" t="s">
        <v>173</v>
      </c>
      <c r="F13" s="29" t="s">
        <v>205</v>
      </c>
      <c r="G13" s="28" t="s">
        <v>75</v>
      </c>
      <c r="H13" s="30"/>
      <c r="I13" s="30"/>
      <c r="J13" s="31"/>
    </row>
    <row r="14" spans="1:10" s="25" customFormat="1" ht="111" customHeight="1">
      <c r="A14" s="158" t="s">
        <v>206</v>
      </c>
      <c r="B14" s="44" t="s">
        <v>207</v>
      </c>
      <c r="C14" s="52">
        <v>1</v>
      </c>
      <c r="D14" s="53">
        <v>307</v>
      </c>
      <c r="E14" s="27" t="s">
        <v>208</v>
      </c>
      <c r="F14" s="29" t="s">
        <v>209</v>
      </c>
      <c r="G14" s="28" t="s">
        <v>26</v>
      </c>
      <c r="H14" s="156" t="s">
        <v>210</v>
      </c>
      <c r="I14" s="30" t="s">
        <v>211</v>
      </c>
      <c r="J14" s="31"/>
    </row>
    <row r="15" spans="1:10" s="25" customFormat="1" ht="78.75">
      <c r="A15" s="158"/>
      <c r="B15" s="44" t="s">
        <v>212</v>
      </c>
      <c r="C15" s="52">
        <v>1</v>
      </c>
      <c r="D15" s="53">
        <v>304</v>
      </c>
      <c r="E15" s="27" t="s">
        <v>213</v>
      </c>
      <c r="F15" s="29" t="s">
        <v>214</v>
      </c>
      <c r="G15" s="28" t="s">
        <v>75</v>
      </c>
      <c r="H15" s="30"/>
      <c r="I15" s="30"/>
      <c r="J15" s="31"/>
    </row>
    <row r="16" spans="1:10" s="25" customFormat="1" ht="94.5">
      <c r="A16" s="158"/>
      <c r="B16" s="44" t="s">
        <v>215</v>
      </c>
      <c r="C16" s="52">
        <v>1</v>
      </c>
      <c r="D16" s="53">
        <v>620</v>
      </c>
      <c r="E16" s="27"/>
      <c r="F16" s="29" t="s">
        <v>216</v>
      </c>
      <c r="G16" s="28" t="s">
        <v>75</v>
      </c>
      <c r="H16" s="30"/>
      <c r="I16" s="30"/>
      <c r="J16" s="31"/>
    </row>
    <row r="17" spans="1:10" s="25" customFormat="1" ht="63">
      <c r="A17" s="158"/>
      <c r="B17" s="44" t="s">
        <v>217</v>
      </c>
      <c r="C17" s="54">
        <v>3</v>
      </c>
      <c r="D17" s="53">
        <v>308</v>
      </c>
      <c r="E17" s="27" t="s">
        <v>218</v>
      </c>
      <c r="F17" s="29" t="s">
        <v>219</v>
      </c>
      <c r="G17" s="28" t="s">
        <v>75</v>
      </c>
      <c r="H17" s="30"/>
      <c r="I17" s="30"/>
      <c r="J17" s="31"/>
    </row>
    <row r="18" spans="1:10" s="25" customFormat="1" ht="47.25">
      <c r="A18" s="158"/>
      <c r="B18" s="44" t="s">
        <v>220</v>
      </c>
      <c r="C18" s="54">
        <v>3</v>
      </c>
      <c r="D18" s="53">
        <v>319</v>
      </c>
      <c r="E18" s="27" t="s">
        <v>221</v>
      </c>
      <c r="F18" s="29" t="s">
        <v>222</v>
      </c>
      <c r="G18" s="28" t="s">
        <v>75</v>
      </c>
      <c r="H18" s="30"/>
      <c r="I18" s="30"/>
      <c r="J18" s="31"/>
    </row>
    <row r="19" spans="1:10" s="25" customFormat="1" ht="31.5">
      <c r="A19" s="158"/>
      <c r="B19" s="44" t="s">
        <v>223</v>
      </c>
      <c r="C19" s="54">
        <v>3</v>
      </c>
      <c r="D19" s="53">
        <v>308</v>
      </c>
      <c r="E19" s="27" t="s">
        <v>224</v>
      </c>
      <c r="F19" s="29" t="s">
        <v>225</v>
      </c>
      <c r="G19" s="28" t="s">
        <v>75</v>
      </c>
      <c r="H19" s="30"/>
      <c r="I19" s="30"/>
      <c r="J19" s="31"/>
    </row>
    <row r="20" spans="1:10" s="25" customFormat="1" ht="31.5">
      <c r="A20" s="158"/>
      <c r="B20" s="44" t="s">
        <v>226</v>
      </c>
      <c r="C20" s="54">
        <v>3</v>
      </c>
      <c r="D20" s="53">
        <v>308</v>
      </c>
      <c r="E20" s="27" t="s">
        <v>227</v>
      </c>
      <c r="F20" s="29" t="s">
        <v>228</v>
      </c>
      <c r="G20" s="28" t="s">
        <v>75</v>
      </c>
      <c r="H20" s="30"/>
      <c r="I20" s="30"/>
      <c r="J20" s="31"/>
    </row>
    <row r="21" spans="1:10" s="25" customFormat="1" ht="79.5" customHeight="1">
      <c r="A21" s="158" t="s">
        <v>229</v>
      </c>
      <c r="B21" s="44" t="s">
        <v>230</v>
      </c>
      <c r="C21" s="52">
        <v>1</v>
      </c>
      <c r="D21" s="53">
        <v>330</v>
      </c>
      <c r="E21" s="27" t="s">
        <v>231</v>
      </c>
      <c r="F21" s="29" t="s">
        <v>232</v>
      </c>
      <c r="G21" s="28" t="s">
        <v>75</v>
      </c>
      <c r="H21" s="30"/>
      <c r="I21" s="30"/>
      <c r="J21" s="31"/>
    </row>
    <row r="22" spans="1:10" s="25" customFormat="1" ht="31.5">
      <c r="A22" s="158"/>
      <c r="B22" s="44" t="s">
        <v>233</v>
      </c>
      <c r="C22" s="55">
        <v>2</v>
      </c>
      <c r="D22" s="53">
        <v>308</v>
      </c>
      <c r="E22" s="27" t="s">
        <v>234</v>
      </c>
      <c r="F22" s="29" t="s">
        <v>235</v>
      </c>
      <c r="G22" s="28" t="s">
        <v>75</v>
      </c>
      <c r="H22" s="30"/>
      <c r="I22" s="30"/>
      <c r="J22" s="31"/>
    </row>
    <row r="23" spans="1:10" s="25" customFormat="1" ht="31.5">
      <c r="A23" s="158"/>
      <c r="B23" s="44" t="s">
        <v>236</v>
      </c>
      <c r="C23" s="55">
        <v>2</v>
      </c>
      <c r="D23" s="53">
        <v>287</v>
      </c>
      <c r="E23" s="27" t="s">
        <v>237</v>
      </c>
      <c r="F23" s="29" t="s">
        <v>238</v>
      </c>
      <c r="G23" s="28" t="s">
        <v>75</v>
      </c>
      <c r="H23" s="30"/>
      <c r="I23" s="30"/>
      <c r="J23" s="31"/>
    </row>
    <row r="24" spans="1:10" s="25" customFormat="1" ht="95.25" customHeight="1">
      <c r="A24" s="158" t="s">
        <v>239</v>
      </c>
      <c r="B24" s="44" t="s">
        <v>240</v>
      </c>
      <c r="C24" s="55">
        <v>2</v>
      </c>
      <c r="D24" s="53">
        <v>916</v>
      </c>
      <c r="E24" s="27" t="s">
        <v>173</v>
      </c>
      <c r="F24" s="29" t="s">
        <v>241</v>
      </c>
      <c r="G24" s="28" t="s">
        <v>26</v>
      </c>
      <c r="H24" s="156" t="s">
        <v>242</v>
      </c>
      <c r="I24" s="30" t="s">
        <v>243</v>
      </c>
      <c r="J24" s="31"/>
    </row>
    <row r="25" spans="1:10" s="25" customFormat="1" ht="64.5">
      <c r="A25" s="158"/>
      <c r="B25" s="44" t="s">
        <v>244</v>
      </c>
      <c r="C25" s="55">
        <v>2</v>
      </c>
      <c r="D25" s="53">
        <v>916</v>
      </c>
      <c r="E25" s="27" t="s">
        <v>173</v>
      </c>
      <c r="F25" s="29" t="s">
        <v>245</v>
      </c>
      <c r="G25" s="28" t="s">
        <v>26</v>
      </c>
      <c r="H25" s="156" t="s">
        <v>52</v>
      </c>
      <c r="I25" s="30" t="s">
        <v>246</v>
      </c>
      <c r="J25" s="31"/>
    </row>
    <row r="26" spans="1:10" s="25" customFormat="1" ht="63">
      <c r="A26" s="158"/>
      <c r="B26" s="44" t="s">
        <v>247</v>
      </c>
      <c r="C26" s="55">
        <v>2</v>
      </c>
      <c r="D26" s="53">
        <v>916</v>
      </c>
      <c r="E26" s="27" t="s">
        <v>173</v>
      </c>
      <c r="F26" s="29" t="s">
        <v>248</v>
      </c>
      <c r="G26" s="28" t="s">
        <v>75</v>
      </c>
      <c r="J26" s="31"/>
    </row>
    <row r="27" spans="1:10" s="25" customFormat="1" ht="64.5">
      <c r="A27" s="158"/>
      <c r="B27" s="44" t="s">
        <v>249</v>
      </c>
      <c r="C27" s="55">
        <v>2</v>
      </c>
      <c r="D27" s="53">
        <v>916</v>
      </c>
      <c r="E27" s="27" t="s">
        <v>173</v>
      </c>
      <c r="F27" s="29" t="s">
        <v>250</v>
      </c>
      <c r="G27" s="28" t="s">
        <v>26</v>
      </c>
      <c r="H27" s="156" t="s">
        <v>52</v>
      </c>
      <c r="I27" s="30" t="s">
        <v>251</v>
      </c>
      <c r="J27" s="31"/>
    </row>
    <row r="28" spans="1:10" s="25" customFormat="1" ht="110.25">
      <c r="A28" s="158"/>
      <c r="B28" s="44" t="s">
        <v>252</v>
      </c>
      <c r="C28" s="55">
        <v>2</v>
      </c>
      <c r="D28" s="53">
        <v>916</v>
      </c>
      <c r="E28" s="27" t="s">
        <v>173</v>
      </c>
      <c r="F28" s="29" t="s">
        <v>253</v>
      </c>
      <c r="G28" s="28" t="s">
        <v>75</v>
      </c>
      <c r="H28" s="28"/>
      <c r="I28" s="28"/>
      <c r="J28" s="32"/>
    </row>
    <row r="29" spans="1:10" s="25" customFormat="1" ht="48" customHeight="1">
      <c r="A29" s="158" t="s">
        <v>254</v>
      </c>
      <c r="B29" s="44" t="s">
        <v>255</v>
      </c>
      <c r="C29" s="52">
        <v>1</v>
      </c>
      <c r="D29" s="53">
        <v>640</v>
      </c>
      <c r="E29" s="27" t="s">
        <v>173</v>
      </c>
      <c r="F29" s="29" t="s">
        <v>256</v>
      </c>
      <c r="G29" s="28" t="s">
        <v>26</v>
      </c>
      <c r="H29" s="28"/>
      <c r="I29" s="28"/>
      <c r="J29" s="32"/>
    </row>
    <row r="30" spans="1:10" s="25" customFormat="1" ht="31.5">
      <c r="A30" s="158"/>
      <c r="B30" s="44" t="s">
        <v>257</v>
      </c>
      <c r="C30" s="52">
        <v>1</v>
      </c>
      <c r="D30" s="53">
        <v>640</v>
      </c>
      <c r="E30" s="27" t="s">
        <v>173</v>
      </c>
      <c r="F30" s="29" t="s">
        <v>258</v>
      </c>
      <c r="G30" s="28" t="s">
        <v>75</v>
      </c>
      <c r="H30" s="28"/>
      <c r="I30" s="28"/>
      <c r="J30" s="32"/>
    </row>
    <row r="31" spans="1:10" s="25" customFormat="1" ht="47.25">
      <c r="A31" s="158"/>
      <c r="B31" s="44" t="s">
        <v>259</v>
      </c>
      <c r="C31" s="52">
        <v>1</v>
      </c>
      <c r="D31" s="53">
        <v>640</v>
      </c>
      <c r="E31" s="27" t="s">
        <v>173</v>
      </c>
      <c r="F31" s="29" t="s">
        <v>260</v>
      </c>
      <c r="G31" s="28" t="s">
        <v>26</v>
      </c>
      <c r="H31" s="28"/>
      <c r="I31" s="28" t="s">
        <v>261</v>
      </c>
      <c r="J31" s="32"/>
    </row>
    <row r="32" spans="1:10" s="25" customFormat="1" ht="31.5">
      <c r="A32" s="158"/>
      <c r="B32" s="44" t="s">
        <v>262</v>
      </c>
      <c r="C32" s="52">
        <v>1</v>
      </c>
      <c r="D32" s="53">
        <v>16</v>
      </c>
      <c r="E32" s="27" t="s">
        <v>231</v>
      </c>
      <c r="F32" s="29" t="s">
        <v>263</v>
      </c>
      <c r="G32" s="28" t="s">
        <v>26</v>
      </c>
      <c r="H32" s="28"/>
      <c r="I32" s="28" t="s">
        <v>264</v>
      </c>
      <c r="J32" s="32"/>
    </row>
    <row r="33" spans="1:10" s="25" customFormat="1" ht="32.25">
      <c r="A33" s="158"/>
      <c r="B33" s="44" t="s">
        <v>265</v>
      </c>
      <c r="C33" s="52">
        <v>1</v>
      </c>
      <c r="D33" s="53">
        <v>304</v>
      </c>
      <c r="E33" s="27" t="s">
        <v>266</v>
      </c>
      <c r="F33" s="29" t="s">
        <v>267</v>
      </c>
      <c r="G33" s="28" t="s">
        <v>26</v>
      </c>
      <c r="H33" s="154" t="s">
        <v>268</v>
      </c>
      <c r="I33" s="28" t="s">
        <v>269</v>
      </c>
      <c r="J33" s="32"/>
    </row>
    <row r="34" spans="1:10" s="25" customFormat="1" ht="63">
      <c r="A34" s="158"/>
      <c r="B34" s="44" t="s">
        <v>270</v>
      </c>
      <c r="C34" s="52">
        <v>1</v>
      </c>
      <c r="D34" s="53">
        <v>640</v>
      </c>
      <c r="E34" s="27" t="s">
        <v>173</v>
      </c>
      <c r="F34" s="29" t="s">
        <v>271</v>
      </c>
      <c r="G34" s="28" t="s">
        <v>75</v>
      </c>
      <c r="H34" s="28"/>
      <c r="I34" s="28"/>
      <c r="J34" s="32"/>
    </row>
    <row r="35" spans="1:10" s="25" customFormat="1" ht="47.25">
      <c r="A35" s="158"/>
      <c r="B35" s="44" t="s">
        <v>272</v>
      </c>
      <c r="C35" s="55">
        <v>2</v>
      </c>
      <c r="D35" s="53">
        <v>308</v>
      </c>
      <c r="E35" s="27" t="s">
        <v>266</v>
      </c>
      <c r="F35" s="29" t="s">
        <v>273</v>
      </c>
      <c r="G35" s="28" t="s">
        <v>75</v>
      </c>
      <c r="H35" s="28"/>
      <c r="I35" s="28"/>
      <c r="J35" s="32"/>
    </row>
    <row r="36" spans="1:10" s="25" customFormat="1" ht="16.5" customHeight="1">
      <c r="A36" s="158" t="s">
        <v>274</v>
      </c>
      <c r="B36" s="44" t="s">
        <v>275</v>
      </c>
      <c r="C36" s="55">
        <v>2</v>
      </c>
      <c r="D36" s="53">
        <v>308</v>
      </c>
      <c r="E36" s="27" t="s">
        <v>276</v>
      </c>
      <c r="F36" s="29" t="s">
        <v>277</v>
      </c>
      <c r="G36" s="28" t="s">
        <v>75</v>
      </c>
      <c r="H36" s="28"/>
      <c r="I36" s="28"/>
      <c r="J36" s="32"/>
    </row>
    <row r="37" spans="1:10" s="25" customFormat="1" ht="47.25">
      <c r="A37" s="158"/>
      <c r="B37" s="44" t="s">
        <v>278</v>
      </c>
      <c r="C37" s="55">
        <v>2</v>
      </c>
      <c r="D37" s="53">
        <v>330</v>
      </c>
      <c r="E37" s="27" t="s">
        <v>276</v>
      </c>
      <c r="F37" s="29" t="s">
        <v>279</v>
      </c>
      <c r="G37" s="28" t="s">
        <v>75</v>
      </c>
      <c r="H37" s="28"/>
      <c r="I37" s="28"/>
      <c r="J37" s="32"/>
    </row>
    <row r="38" spans="1:10" s="25" customFormat="1" ht="31.5">
      <c r="A38" s="158"/>
      <c r="B38" s="44" t="s">
        <v>280</v>
      </c>
      <c r="C38" s="55">
        <v>2</v>
      </c>
      <c r="D38" s="53">
        <v>310</v>
      </c>
      <c r="E38" s="27" t="s">
        <v>276</v>
      </c>
      <c r="F38" s="29" t="s">
        <v>281</v>
      </c>
      <c r="G38" s="28" t="s">
        <v>75</v>
      </c>
      <c r="H38" s="28"/>
      <c r="I38" s="28"/>
      <c r="J38" s="32"/>
    </row>
    <row r="39" spans="1:10" s="25" customFormat="1" ht="48" customHeight="1">
      <c r="A39" s="158" t="s">
        <v>282</v>
      </c>
      <c r="B39" s="44" t="s">
        <v>283</v>
      </c>
      <c r="C39" s="52">
        <v>1</v>
      </c>
      <c r="D39" s="53">
        <v>287</v>
      </c>
      <c r="E39" s="27" t="s">
        <v>284</v>
      </c>
      <c r="F39" s="29" t="s">
        <v>285</v>
      </c>
      <c r="G39" s="28" t="s">
        <v>75</v>
      </c>
      <c r="H39" s="28"/>
      <c r="I39" s="28"/>
      <c r="J39" s="32"/>
    </row>
    <row r="40" spans="1:10" s="25" customFormat="1" ht="31.5">
      <c r="A40" s="158"/>
      <c r="B40" s="44" t="s">
        <v>286</v>
      </c>
      <c r="C40" s="52">
        <v>1</v>
      </c>
      <c r="D40" s="53">
        <v>287</v>
      </c>
      <c r="E40" s="27" t="s">
        <v>284</v>
      </c>
      <c r="F40" s="29" t="s">
        <v>287</v>
      </c>
      <c r="G40" s="28" t="s">
        <v>75</v>
      </c>
      <c r="H40" s="28"/>
      <c r="I40" s="28"/>
      <c r="J40" s="32"/>
    </row>
    <row r="41" spans="1:10" s="25" customFormat="1" ht="31.5">
      <c r="A41" s="158"/>
      <c r="B41" s="44" t="s">
        <v>288</v>
      </c>
      <c r="C41" s="52">
        <v>1</v>
      </c>
      <c r="D41" s="53">
        <v>287</v>
      </c>
      <c r="E41" s="27" t="s">
        <v>284</v>
      </c>
      <c r="F41" s="29" t="s">
        <v>289</v>
      </c>
      <c r="G41" s="28" t="s">
        <v>75</v>
      </c>
      <c r="H41" s="28"/>
      <c r="I41" s="28"/>
      <c r="J41" s="32"/>
    </row>
    <row r="42" spans="1:10" s="25" customFormat="1" ht="31.5">
      <c r="A42" s="158"/>
      <c r="B42" s="44" t="s">
        <v>290</v>
      </c>
      <c r="C42" s="52">
        <v>1</v>
      </c>
      <c r="D42" s="53">
        <v>523</v>
      </c>
      <c r="E42" s="27" t="s">
        <v>284</v>
      </c>
      <c r="F42" s="29" t="s">
        <v>291</v>
      </c>
      <c r="G42" s="28" t="s">
        <v>75</v>
      </c>
      <c r="H42" s="28"/>
      <c r="I42" s="28"/>
      <c r="J42" s="32"/>
    </row>
    <row r="43" spans="1:10" s="25" customFormat="1" ht="31.5">
      <c r="A43" s="158"/>
      <c r="B43" s="44" t="s">
        <v>292</v>
      </c>
      <c r="C43" s="55">
        <v>2</v>
      </c>
      <c r="D43" s="53">
        <v>256</v>
      </c>
      <c r="E43" s="27" t="s">
        <v>284</v>
      </c>
      <c r="F43" s="29" t="s">
        <v>293</v>
      </c>
      <c r="G43" s="28" t="s">
        <v>75</v>
      </c>
      <c r="H43" s="28"/>
      <c r="I43" s="28"/>
      <c r="J43" s="32"/>
    </row>
    <row r="44" spans="1:10" s="25" customFormat="1" ht="47.25">
      <c r="A44" s="158"/>
      <c r="B44" s="44" t="s">
        <v>294</v>
      </c>
      <c r="C44" s="55">
        <v>2</v>
      </c>
      <c r="D44" s="53">
        <v>310</v>
      </c>
      <c r="E44" s="27" t="s">
        <v>284</v>
      </c>
      <c r="F44" s="29" t="s">
        <v>295</v>
      </c>
      <c r="G44" s="28" t="s">
        <v>75</v>
      </c>
      <c r="H44" s="28"/>
      <c r="I44" s="28"/>
      <c r="J44" s="32"/>
    </row>
    <row r="45" spans="1:10" s="25" customFormat="1" ht="32.25" customHeight="1">
      <c r="A45" s="158" t="s">
        <v>296</v>
      </c>
      <c r="B45" s="44" t="s">
        <v>297</v>
      </c>
      <c r="C45" s="52">
        <v>1</v>
      </c>
      <c r="D45" s="53">
        <v>613</v>
      </c>
      <c r="E45" s="27" t="s">
        <v>298</v>
      </c>
      <c r="F45" s="29" t="s">
        <v>299</v>
      </c>
      <c r="G45" s="28" t="s">
        <v>75</v>
      </c>
      <c r="H45" s="28"/>
      <c r="I45" s="28"/>
      <c r="J45" s="32"/>
    </row>
    <row r="46" spans="1:10" s="25" customFormat="1" ht="47.25">
      <c r="A46" s="158"/>
      <c r="B46" s="44" t="s">
        <v>300</v>
      </c>
      <c r="C46" s="55">
        <v>2</v>
      </c>
      <c r="D46" s="53">
        <v>320</v>
      </c>
      <c r="E46" s="27" t="s">
        <v>298</v>
      </c>
      <c r="F46" s="29" t="s">
        <v>301</v>
      </c>
      <c r="G46" s="28" t="s">
        <v>75</v>
      </c>
      <c r="H46" s="28"/>
      <c r="I46" s="28"/>
      <c r="J46" s="32"/>
    </row>
    <row r="47" spans="1:10" s="25" customFormat="1" ht="31.5">
      <c r="A47" s="158"/>
      <c r="B47" s="44" t="s">
        <v>302</v>
      </c>
      <c r="C47" s="55">
        <v>2</v>
      </c>
      <c r="D47" s="53">
        <v>326</v>
      </c>
      <c r="E47" s="27" t="s">
        <v>298</v>
      </c>
      <c r="F47" s="29" t="s">
        <v>303</v>
      </c>
      <c r="G47" s="28" t="s">
        <v>75</v>
      </c>
      <c r="H47" s="28"/>
      <c r="I47" s="28"/>
      <c r="J47" s="32"/>
    </row>
    <row r="48" spans="1:10" s="25" customFormat="1" ht="31.5">
      <c r="A48" s="158"/>
      <c r="B48" s="44" t="s">
        <v>304</v>
      </c>
      <c r="C48" s="55">
        <v>2</v>
      </c>
      <c r="D48" s="53">
        <v>287</v>
      </c>
      <c r="E48" s="27" t="s">
        <v>298</v>
      </c>
      <c r="F48" s="29" t="s">
        <v>305</v>
      </c>
      <c r="G48" s="28" t="s">
        <v>75</v>
      </c>
      <c r="H48" s="28"/>
      <c r="I48" s="28"/>
      <c r="J48" s="32"/>
    </row>
    <row r="49" spans="1:10" s="25" customFormat="1" ht="47.25">
      <c r="A49" s="158"/>
      <c r="B49" s="44" t="s">
        <v>306</v>
      </c>
      <c r="C49" s="55">
        <v>2</v>
      </c>
      <c r="D49" s="53">
        <v>287</v>
      </c>
      <c r="E49" s="27" t="s">
        <v>307</v>
      </c>
      <c r="F49" s="29" t="s">
        <v>308</v>
      </c>
      <c r="G49" s="28" t="s">
        <v>75</v>
      </c>
      <c r="H49" s="28"/>
      <c r="I49" s="28"/>
      <c r="J49" s="32"/>
    </row>
    <row r="50" spans="1:10" s="25" customFormat="1" ht="47.25">
      <c r="A50" s="158"/>
      <c r="B50" s="44" t="s">
        <v>309</v>
      </c>
      <c r="C50" s="55">
        <v>2</v>
      </c>
      <c r="D50" s="53">
        <v>613</v>
      </c>
      <c r="E50" s="27" t="s">
        <v>310</v>
      </c>
      <c r="F50" s="29" t="s">
        <v>311</v>
      </c>
      <c r="G50" s="28" t="s">
        <v>75</v>
      </c>
      <c r="H50" s="28"/>
      <c r="I50" s="28"/>
      <c r="J50" s="32"/>
    </row>
    <row r="51" spans="1:10" s="25" customFormat="1" ht="47.25">
      <c r="A51" s="158"/>
      <c r="B51" s="44" t="s">
        <v>312</v>
      </c>
      <c r="C51" s="54">
        <v>3</v>
      </c>
      <c r="D51" s="53">
        <v>308</v>
      </c>
      <c r="E51" s="27" t="s">
        <v>313</v>
      </c>
      <c r="F51" s="29" t="s">
        <v>314</v>
      </c>
      <c r="G51" s="28" t="s">
        <v>75</v>
      </c>
      <c r="H51" s="28"/>
      <c r="I51" s="28"/>
      <c r="J51" s="32"/>
    </row>
    <row r="52" spans="1:10" s="25" customFormat="1" ht="63.75" customHeight="1">
      <c r="A52" s="158" t="s">
        <v>315</v>
      </c>
      <c r="B52" s="44" t="s">
        <v>316</v>
      </c>
      <c r="C52" s="55">
        <v>2</v>
      </c>
      <c r="D52" s="53">
        <v>320</v>
      </c>
      <c r="E52" s="27" t="s">
        <v>317</v>
      </c>
      <c r="F52" s="29" t="s">
        <v>318</v>
      </c>
      <c r="G52" s="28" t="s">
        <v>75</v>
      </c>
      <c r="H52" s="28"/>
      <c r="I52" s="28"/>
      <c r="J52" s="32"/>
    </row>
    <row r="53" spans="1:10" s="25" customFormat="1" ht="31.5">
      <c r="A53" s="158"/>
      <c r="B53" s="44" t="s">
        <v>319</v>
      </c>
      <c r="C53" s="55">
        <v>2</v>
      </c>
      <c r="D53" s="53">
        <v>330</v>
      </c>
      <c r="E53" s="27" t="s">
        <v>317</v>
      </c>
      <c r="F53" s="29" t="s">
        <v>320</v>
      </c>
      <c r="G53" s="28" t="s">
        <v>75</v>
      </c>
      <c r="H53" s="28"/>
      <c r="I53" s="28"/>
      <c r="J53" s="32"/>
    </row>
    <row r="54" spans="1:10" s="25" customFormat="1" ht="31.5">
      <c r="A54" s="158"/>
      <c r="B54" s="44" t="s">
        <v>321</v>
      </c>
      <c r="C54" s="55">
        <v>2</v>
      </c>
      <c r="D54" s="53">
        <v>327</v>
      </c>
      <c r="E54" s="27" t="s">
        <v>317</v>
      </c>
      <c r="F54" s="29" t="s">
        <v>322</v>
      </c>
      <c r="G54" s="28" t="s">
        <v>75</v>
      </c>
      <c r="H54" s="28"/>
      <c r="I54" s="28"/>
      <c r="J54" s="32"/>
    </row>
    <row r="55" spans="1:10" s="25" customFormat="1" ht="79.5" customHeight="1">
      <c r="A55" s="158" t="s">
        <v>323</v>
      </c>
      <c r="B55" s="44" t="s">
        <v>324</v>
      </c>
      <c r="C55" s="55" t="s">
        <v>325</v>
      </c>
      <c r="D55" s="53">
        <v>287</v>
      </c>
      <c r="E55" s="27" t="s">
        <v>326</v>
      </c>
      <c r="F55" s="29" t="s">
        <v>327</v>
      </c>
      <c r="G55" s="28" t="s">
        <v>75</v>
      </c>
      <c r="H55" s="28"/>
      <c r="I55" s="28"/>
      <c r="J55" s="32"/>
    </row>
    <row r="56" spans="1:10" s="25" customFormat="1" ht="47.25">
      <c r="A56" s="158"/>
      <c r="B56" s="44" t="s">
        <v>328</v>
      </c>
      <c r="C56" s="55" t="s">
        <v>325</v>
      </c>
      <c r="D56" s="53">
        <v>255</v>
      </c>
      <c r="E56" s="27" t="s">
        <v>326</v>
      </c>
      <c r="F56" s="29" t="s">
        <v>329</v>
      </c>
      <c r="G56" s="28" t="s">
        <v>26</v>
      </c>
      <c r="H56" s="28"/>
      <c r="I56" s="28" t="s">
        <v>330</v>
      </c>
      <c r="J56" s="32"/>
    </row>
    <row r="57" spans="1:10" s="25" customFormat="1" ht="47.25">
      <c r="A57" s="158"/>
      <c r="B57" s="44" t="s">
        <v>331</v>
      </c>
      <c r="C57" s="55" t="s">
        <v>325</v>
      </c>
      <c r="D57" s="53">
        <v>522</v>
      </c>
      <c r="E57" s="27" t="s">
        <v>326</v>
      </c>
      <c r="F57" s="29" t="s">
        <v>332</v>
      </c>
      <c r="G57" s="28" t="s">
        <v>75</v>
      </c>
      <c r="H57" s="28"/>
      <c r="I57" s="28"/>
      <c r="J57" s="32"/>
    </row>
    <row r="58" spans="1:10" s="25" customFormat="1" ht="94.5">
      <c r="A58" s="158"/>
      <c r="B58" s="44" t="s">
        <v>333</v>
      </c>
      <c r="C58" s="56" t="s">
        <v>325</v>
      </c>
      <c r="D58" s="57">
        <v>798</v>
      </c>
      <c r="E58" s="34"/>
      <c r="F58" s="36" t="s">
        <v>334</v>
      </c>
      <c r="G58" s="120" t="s">
        <v>75</v>
      </c>
      <c r="H58" s="35"/>
      <c r="I58" s="35"/>
      <c r="J58" s="37"/>
    </row>
  </sheetData>
  <mergeCells count="10">
    <mergeCell ref="A2:A13"/>
    <mergeCell ref="A14:A20"/>
    <mergeCell ref="A21:A23"/>
    <mergeCell ref="A24:A28"/>
    <mergeCell ref="A29:A35"/>
    <mergeCell ref="A36:A38"/>
    <mergeCell ref="A39:A44"/>
    <mergeCell ref="A45:A51"/>
    <mergeCell ref="A52:A54"/>
    <mergeCell ref="A55:A58"/>
  </mergeCells>
  <dataValidations count="1">
    <dataValidation type="list" operator="equal" showErrorMessage="1" sqref="G2:G58" xr:uid="{00000000-0002-0000-0200-000000000000}">
      <formula1>"Valid,Non-valid,Not Applicable"</formula1>
      <formula2>0</formula2>
    </dataValidation>
  </dataValidations>
  <hyperlinks>
    <hyperlink ref="H4" r:id="rId1" xr:uid="{541BF414-FC30-B842-96C0-5FA0634316AB}"/>
    <hyperlink ref="H24" r:id="rId2" xr:uid="{5587BAF7-3EA4-46DF-B44E-0B53AD135826}"/>
    <hyperlink ref="H25" r:id="rId3" xr:uid="{5C9774C3-6953-4B7F-B3F9-7D2812B9F754}"/>
    <hyperlink ref="H27" r:id="rId4" xr:uid="{223D3802-AAB8-4B5D-8D59-9D72A72C0262}"/>
    <hyperlink ref="H14" r:id="rId5" xr:uid="{8B2A904E-6E6F-4B4A-84FA-CE134CEB600B}"/>
    <hyperlink ref="H33" r:id="rId6" xr:uid="{226B78AC-7FC5-4C0B-8261-7EB16C398B43}"/>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24"/>
  <sheetViews>
    <sheetView topLeftCell="F1" zoomScale="95" zoomScaleNormal="95" workbookViewId="0">
      <selection activeCell="F2" sqref="F2:J21"/>
    </sheetView>
  </sheetViews>
  <sheetFormatPr defaultColWidth="8.7109375" defaultRowHeight="21"/>
  <cols>
    <col min="1" max="1" width="40.7109375" style="58" customWidth="1"/>
    <col min="2" max="2" width="10.7109375" style="25" customWidth="1"/>
    <col min="3" max="3" width="11.7109375" style="59" customWidth="1"/>
    <col min="4" max="5" width="8.7109375" style="59"/>
    <col min="6" max="6" width="70" style="25" customWidth="1"/>
    <col min="7" max="7" width="20.42578125" style="25" customWidth="1"/>
    <col min="8" max="8" width="36.140625" style="25" customWidth="1"/>
    <col min="9" max="9" width="35.7109375" style="25" customWidth="1"/>
    <col min="10" max="10" width="42.7109375" style="25" customWidth="1"/>
    <col min="11" max="1024" width="8.7109375" style="25"/>
  </cols>
  <sheetData>
    <row r="1" spans="1:10" s="43" customFormat="1" ht="42">
      <c r="A1" s="60" t="s">
        <v>20</v>
      </c>
      <c r="B1" s="61" t="s">
        <v>21</v>
      </c>
      <c r="C1" s="60" t="s">
        <v>22</v>
      </c>
      <c r="D1" s="60" t="s">
        <v>23</v>
      </c>
      <c r="E1" s="60" t="s">
        <v>24</v>
      </c>
      <c r="F1" s="61" t="s">
        <v>25</v>
      </c>
      <c r="G1" s="61" t="s">
        <v>26</v>
      </c>
      <c r="H1" s="61" t="s">
        <v>27</v>
      </c>
      <c r="I1" s="61" t="s">
        <v>28</v>
      </c>
      <c r="J1" s="61" t="s">
        <v>29</v>
      </c>
    </row>
    <row r="2" spans="1:10" ht="42">
      <c r="A2" s="2" t="s">
        <v>335</v>
      </c>
      <c r="B2" s="62" t="s">
        <v>336</v>
      </c>
      <c r="C2" s="63">
        <v>1</v>
      </c>
      <c r="D2" s="46">
        <v>598</v>
      </c>
      <c r="E2" s="64"/>
      <c r="F2" s="133" t="s">
        <v>337</v>
      </c>
      <c r="G2" s="49" t="s">
        <v>26</v>
      </c>
      <c r="H2" s="49"/>
      <c r="I2" s="49" t="s">
        <v>338</v>
      </c>
      <c r="J2" s="65"/>
    </row>
    <row r="3" spans="1:10" ht="63.75" customHeight="1">
      <c r="A3" s="158" t="s">
        <v>339</v>
      </c>
      <c r="B3" s="62" t="s">
        <v>340</v>
      </c>
      <c r="C3" s="66">
        <v>1</v>
      </c>
      <c r="D3" s="53">
        <v>384</v>
      </c>
      <c r="E3" s="67">
        <v>7.1</v>
      </c>
      <c r="F3" s="29" t="s">
        <v>341</v>
      </c>
      <c r="G3" s="28" t="s">
        <v>26</v>
      </c>
      <c r="H3" s="154" t="s">
        <v>342</v>
      </c>
      <c r="I3" s="28" t="s">
        <v>343</v>
      </c>
      <c r="J3" s="32"/>
    </row>
    <row r="4" spans="1:10" ht="47.25">
      <c r="A4" s="158"/>
      <c r="B4" s="62" t="s">
        <v>344</v>
      </c>
      <c r="C4" s="66">
        <v>1</v>
      </c>
      <c r="D4" s="53">
        <v>331</v>
      </c>
      <c r="E4" s="67">
        <v>7.1</v>
      </c>
      <c r="F4" s="29" t="s">
        <v>345</v>
      </c>
      <c r="G4" s="28" t="s">
        <v>26</v>
      </c>
      <c r="H4" s="154" t="s">
        <v>52</v>
      </c>
      <c r="I4" s="28" t="s">
        <v>346</v>
      </c>
      <c r="J4" s="32"/>
    </row>
    <row r="5" spans="1:10" ht="47.25">
      <c r="A5" s="158"/>
      <c r="B5" s="62" t="s">
        <v>347</v>
      </c>
      <c r="C5" s="66">
        <v>1</v>
      </c>
      <c r="D5" s="53">
        <v>539</v>
      </c>
      <c r="E5" s="67">
        <v>7.1</v>
      </c>
      <c r="F5" s="29" t="s">
        <v>348</v>
      </c>
      <c r="G5" s="28" t="s">
        <v>75</v>
      </c>
      <c r="H5" s="28"/>
      <c r="I5" s="28" t="s">
        <v>349</v>
      </c>
      <c r="J5" s="32"/>
    </row>
    <row r="6" spans="1:10" ht="63">
      <c r="A6" s="158"/>
      <c r="B6" s="62" t="s">
        <v>350</v>
      </c>
      <c r="C6" s="68">
        <v>2</v>
      </c>
      <c r="D6" s="53">
        <v>331</v>
      </c>
      <c r="E6" s="67">
        <v>7.1</v>
      </c>
      <c r="F6" s="29" t="s">
        <v>351</v>
      </c>
      <c r="G6" s="28" t="s">
        <v>26</v>
      </c>
      <c r="H6" s="154" t="s">
        <v>52</v>
      </c>
      <c r="I6" s="28" t="s">
        <v>352</v>
      </c>
      <c r="J6" s="32"/>
    </row>
    <row r="7" spans="1:10" ht="79.5" customHeight="1">
      <c r="A7" s="158" t="s">
        <v>353</v>
      </c>
      <c r="B7" s="62" t="s">
        <v>354</v>
      </c>
      <c r="C7" s="66">
        <v>1</v>
      </c>
      <c r="D7" s="53">
        <v>613</v>
      </c>
      <c r="E7" s="67">
        <v>7.1</v>
      </c>
      <c r="F7" s="29" t="s">
        <v>355</v>
      </c>
      <c r="G7" s="28" t="s">
        <v>75</v>
      </c>
      <c r="H7" s="28"/>
      <c r="I7" s="28" t="s">
        <v>356</v>
      </c>
      <c r="J7" s="32"/>
    </row>
    <row r="8" spans="1:10" ht="110.25">
      <c r="A8" s="158"/>
      <c r="B8" s="62" t="s">
        <v>357</v>
      </c>
      <c r="C8" s="66">
        <v>1</v>
      </c>
      <c r="D8" s="53">
        <v>613</v>
      </c>
      <c r="E8" s="67">
        <v>7.2</v>
      </c>
      <c r="F8" s="29" t="s">
        <v>358</v>
      </c>
      <c r="G8" s="28" t="s">
        <v>26</v>
      </c>
      <c r="H8" s="154" t="s">
        <v>342</v>
      </c>
      <c r="I8" s="28" t="s">
        <v>359</v>
      </c>
      <c r="J8" s="32"/>
    </row>
    <row r="9" spans="1:10" ht="63">
      <c r="A9" s="158"/>
      <c r="B9" s="62" t="s">
        <v>360</v>
      </c>
      <c r="C9" s="68">
        <v>2</v>
      </c>
      <c r="D9" s="53">
        <v>613</v>
      </c>
      <c r="E9" s="67"/>
      <c r="F9" s="29" t="s">
        <v>361</v>
      </c>
      <c r="G9" s="28" t="s">
        <v>75</v>
      </c>
      <c r="H9" s="28"/>
      <c r="I9" s="28"/>
      <c r="J9" s="32"/>
    </row>
    <row r="10" spans="1:10" ht="31.5">
      <c r="A10" s="158"/>
      <c r="B10" s="62" t="s">
        <v>362</v>
      </c>
      <c r="C10" s="68">
        <v>2</v>
      </c>
      <c r="D10" s="53">
        <v>613</v>
      </c>
      <c r="E10" s="67">
        <v>7.1</v>
      </c>
      <c r="F10" s="29" t="s">
        <v>363</v>
      </c>
      <c r="G10" s="28" t="s">
        <v>75</v>
      </c>
      <c r="H10" s="28"/>
      <c r="I10" s="28"/>
      <c r="J10" s="32"/>
    </row>
    <row r="11" spans="1:10" ht="48" customHeight="1">
      <c r="A11" s="158" t="s">
        <v>364</v>
      </c>
      <c r="B11" s="62" t="s">
        <v>365</v>
      </c>
      <c r="C11" s="66">
        <v>1</v>
      </c>
      <c r="D11" s="53">
        <v>614</v>
      </c>
      <c r="E11" s="67" t="s">
        <v>366</v>
      </c>
      <c r="F11" s="29" t="s">
        <v>367</v>
      </c>
      <c r="G11" s="28" t="s">
        <v>75</v>
      </c>
      <c r="H11" s="28"/>
      <c r="I11" s="28" t="s">
        <v>368</v>
      </c>
      <c r="J11" s="32"/>
    </row>
    <row r="12" spans="1:10" ht="47.25">
      <c r="A12" s="158"/>
      <c r="B12" s="62" t="s">
        <v>369</v>
      </c>
      <c r="C12" s="66">
        <v>1</v>
      </c>
      <c r="D12" s="53">
        <v>1004</v>
      </c>
      <c r="E12" s="67" t="s">
        <v>366</v>
      </c>
      <c r="F12" s="29" t="s">
        <v>370</v>
      </c>
      <c r="G12" s="28" t="s">
        <v>75</v>
      </c>
      <c r="H12" s="28"/>
      <c r="I12" s="28" t="s">
        <v>368</v>
      </c>
      <c r="J12" s="32"/>
    </row>
    <row r="13" spans="1:10" ht="63">
      <c r="A13" s="158"/>
      <c r="B13" s="62" t="s">
        <v>371</v>
      </c>
      <c r="C13" s="66">
        <v>1</v>
      </c>
      <c r="D13" s="53">
        <v>16</v>
      </c>
      <c r="E13" s="67" t="s">
        <v>366</v>
      </c>
      <c r="F13" s="29" t="s">
        <v>372</v>
      </c>
      <c r="G13" s="28" t="s">
        <v>75</v>
      </c>
      <c r="H13" s="28"/>
      <c r="I13" s="155" t="s">
        <v>368</v>
      </c>
      <c r="J13" s="32"/>
    </row>
    <row r="14" spans="1:10" ht="31.5">
      <c r="A14" s="158"/>
      <c r="B14" s="62" t="s">
        <v>373</v>
      </c>
      <c r="C14" s="66">
        <v>1</v>
      </c>
      <c r="D14" s="53">
        <v>16</v>
      </c>
      <c r="E14" s="67" t="s">
        <v>366</v>
      </c>
      <c r="F14" s="29" t="s">
        <v>374</v>
      </c>
      <c r="G14" s="28" t="s">
        <v>75</v>
      </c>
      <c r="H14" s="28"/>
      <c r="I14" s="28" t="s">
        <v>368</v>
      </c>
      <c r="J14" s="32"/>
    </row>
    <row r="15" spans="1:10" ht="94.5">
      <c r="A15" s="158"/>
      <c r="B15" s="62" t="s">
        <v>375</v>
      </c>
      <c r="C15" s="66">
        <v>1</v>
      </c>
      <c r="D15" s="53">
        <v>16</v>
      </c>
      <c r="E15" s="67" t="s">
        <v>366</v>
      </c>
      <c r="F15" s="29" t="s">
        <v>376</v>
      </c>
      <c r="G15" s="28" t="s">
        <v>75</v>
      </c>
      <c r="H15" s="28"/>
      <c r="I15" s="28" t="s">
        <v>368</v>
      </c>
      <c r="J15" s="32"/>
    </row>
    <row r="16" spans="1:10" ht="32.25" customHeight="1">
      <c r="A16" s="158" t="s">
        <v>377</v>
      </c>
      <c r="B16" s="62" t="s">
        <v>378</v>
      </c>
      <c r="C16" s="68">
        <v>2</v>
      </c>
      <c r="D16" s="53">
        <v>290</v>
      </c>
      <c r="E16" s="67" t="s">
        <v>379</v>
      </c>
      <c r="F16" s="29" t="s">
        <v>380</v>
      </c>
      <c r="G16" s="28" t="s">
        <v>75</v>
      </c>
      <c r="H16" s="28"/>
      <c r="I16" s="28" t="s">
        <v>381</v>
      </c>
      <c r="J16" s="32"/>
    </row>
    <row r="17" spans="1:10" ht="31.5">
      <c r="A17" s="158"/>
      <c r="B17" s="62" t="s">
        <v>382</v>
      </c>
      <c r="C17" s="68">
        <v>2</v>
      </c>
      <c r="D17" s="53">
        <v>798</v>
      </c>
      <c r="E17" s="67"/>
      <c r="F17" s="29" t="s">
        <v>383</v>
      </c>
      <c r="G17" s="28" t="s">
        <v>26</v>
      </c>
      <c r="H17" s="124" t="s">
        <v>52</v>
      </c>
      <c r="I17" s="28" t="s">
        <v>384</v>
      </c>
      <c r="J17" s="32"/>
    </row>
    <row r="18" spans="1:10" ht="236.25">
      <c r="A18" s="158"/>
      <c r="B18" s="62" t="s">
        <v>385</v>
      </c>
      <c r="C18" s="68">
        <v>2</v>
      </c>
      <c r="D18" s="53">
        <v>345</v>
      </c>
      <c r="E18" s="67"/>
      <c r="F18" s="29" t="s">
        <v>386</v>
      </c>
      <c r="G18" s="28" t="s">
        <v>26</v>
      </c>
      <c r="H18" s="124" t="s">
        <v>52</v>
      </c>
      <c r="I18" s="30" t="s">
        <v>387</v>
      </c>
      <c r="J18" s="32"/>
    </row>
    <row r="19" spans="1:10" ht="63.75" customHeight="1">
      <c r="A19" s="158" t="s">
        <v>388</v>
      </c>
      <c r="B19" s="62" t="s">
        <v>389</v>
      </c>
      <c r="C19" s="69">
        <v>3</v>
      </c>
      <c r="D19" s="53">
        <v>613</v>
      </c>
      <c r="E19" s="67" t="s">
        <v>390</v>
      </c>
      <c r="F19" s="29" t="s">
        <v>391</v>
      </c>
      <c r="G19" s="28" t="s">
        <v>75</v>
      </c>
      <c r="H19" s="28"/>
      <c r="I19" s="28"/>
      <c r="J19" s="32"/>
    </row>
    <row r="20" spans="1:10" ht="47.25">
      <c r="A20" s="158"/>
      <c r="B20" s="62" t="s">
        <v>392</v>
      </c>
      <c r="C20" s="69">
        <v>3</v>
      </c>
      <c r="D20" s="53">
        <v>613</v>
      </c>
      <c r="E20" s="67" t="s">
        <v>390</v>
      </c>
      <c r="F20" s="29" t="s">
        <v>393</v>
      </c>
      <c r="G20" s="28" t="s">
        <v>75</v>
      </c>
      <c r="H20" s="28"/>
      <c r="I20" s="28"/>
      <c r="J20" s="32"/>
    </row>
    <row r="21" spans="1:10" ht="47.25">
      <c r="A21" s="2" t="s">
        <v>394</v>
      </c>
      <c r="B21" s="62" t="s">
        <v>395</v>
      </c>
      <c r="C21" s="70">
        <v>1</v>
      </c>
      <c r="D21" s="57">
        <v>778</v>
      </c>
      <c r="E21" s="71"/>
      <c r="F21" s="36" t="s">
        <v>396</v>
      </c>
      <c r="G21" s="35" t="s">
        <v>26</v>
      </c>
      <c r="H21" s="35"/>
      <c r="I21" t="s">
        <v>397</v>
      </c>
      <c r="J21" s="37"/>
    </row>
    <row r="22" spans="1:10" s="25" customFormat="1">
      <c r="A22" s="58"/>
      <c r="I22"/>
    </row>
    <row r="23" spans="1:10" s="25" customFormat="1">
      <c r="A23" s="58"/>
      <c r="I23"/>
    </row>
    <row r="24" spans="1:10" s="25" customFormat="1">
      <c r="A24" s="58"/>
    </row>
  </sheetData>
  <mergeCells count="5">
    <mergeCell ref="A3:A6"/>
    <mergeCell ref="A7:A10"/>
    <mergeCell ref="A11:A15"/>
    <mergeCell ref="A16:A18"/>
    <mergeCell ref="A19:A20"/>
  </mergeCells>
  <dataValidations count="1">
    <dataValidation type="list" operator="equal" showErrorMessage="1" sqref="G2:G21" xr:uid="{00000000-0002-0000-0300-000000000000}">
      <formula1>"Valid,Non-valid,Not Applicable"</formula1>
      <formula2>0</formula2>
    </dataValidation>
  </dataValidations>
  <hyperlinks>
    <hyperlink ref="H3" r:id="rId1" xr:uid="{471EC67F-2B61-47BA-9FDF-E5A06F4DF03F}"/>
    <hyperlink ref="H4" r:id="rId2" xr:uid="{7E748AEB-011B-4489-A1AB-6FD5A5FEB886}"/>
    <hyperlink ref="H6" r:id="rId3" xr:uid="{65500615-CF4C-4AFA-ADEA-201EDA87E34B}"/>
    <hyperlink ref="H8" r:id="rId4" xr:uid="{6A2E70B9-918B-4944-981D-74A9F336D3A8}"/>
    <hyperlink ref="H17" r:id="rId5" xr:uid="{2D3BDB16-006B-4DBD-8238-E0031CDE13C7}"/>
    <hyperlink ref="H18" r:id="rId6" xr:uid="{1FC3733D-E88F-46A5-9FE5-70F19EB95A93}"/>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11"/>
  <sheetViews>
    <sheetView topLeftCell="A3" zoomScale="95" zoomScaleNormal="95" workbookViewId="0">
      <selection activeCell="C1" sqref="C1:J11"/>
    </sheetView>
  </sheetViews>
  <sheetFormatPr defaultColWidth="8.7109375" defaultRowHeight="21"/>
  <cols>
    <col min="1" max="1" width="38.42578125" style="72" customWidth="1"/>
    <col min="2" max="2" width="12.28515625" style="73" customWidth="1"/>
    <col min="3" max="3" width="12.42578125" style="59" customWidth="1"/>
    <col min="4" max="5" width="8.7109375" style="59"/>
    <col min="6" max="6" width="68.7109375" style="25" customWidth="1"/>
    <col min="7" max="7" width="18.140625" style="25" customWidth="1"/>
    <col min="8" max="8" width="32.7109375" style="25" customWidth="1"/>
    <col min="9" max="9" width="27.28515625" style="25" customWidth="1"/>
    <col min="10" max="10" width="42.140625" style="25" customWidth="1"/>
    <col min="11" max="1024" width="8.7109375" style="25"/>
  </cols>
  <sheetData>
    <row r="1" spans="1:10" s="76" customFormat="1" ht="37.5">
      <c r="A1" s="40" t="s">
        <v>20</v>
      </c>
      <c r="B1" s="74" t="s">
        <v>21</v>
      </c>
      <c r="C1" s="75" t="s">
        <v>22</v>
      </c>
      <c r="D1" s="75" t="s">
        <v>23</v>
      </c>
      <c r="E1" s="75" t="s">
        <v>24</v>
      </c>
      <c r="F1" s="74" t="s">
        <v>25</v>
      </c>
      <c r="G1" s="74" t="s">
        <v>26</v>
      </c>
      <c r="H1" s="74" t="s">
        <v>27</v>
      </c>
      <c r="I1" s="74" t="s">
        <v>28</v>
      </c>
      <c r="J1" s="74" t="s">
        <v>29</v>
      </c>
    </row>
    <row r="2" spans="1:10" ht="48" customHeight="1">
      <c r="A2" s="158" t="s">
        <v>398</v>
      </c>
      <c r="B2" s="77" t="s">
        <v>399</v>
      </c>
      <c r="C2" s="63">
        <v>1</v>
      </c>
      <c r="D2" s="46">
        <v>602</v>
      </c>
      <c r="E2" s="49"/>
      <c r="F2" s="48" t="s">
        <v>400</v>
      </c>
      <c r="G2" s="49" t="s">
        <v>26</v>
      </c>
      <c r="H2" s="130" t="s">
        <v>52</v>
      </c>
      <c r="I2" s="50" t="s">
        <v>401</v>
      </c>
      <c r="J2" s="65"/>
    </row>
    <row r="3" spans="1:10" ht="126">
      <c r="A3" s="158"/>
      <c r="B3" s="77" t="s">
        <v>402</v>
      </c>
      <c r="C3" s="66">
        <v>1</v>
      </c>
      <c r="D3" s="53">
        <v>639</v>
      </c>
      <c r="E3" s="28"/>
      <c r="F3" s="29" t="s">
        <v>403</v>
      </c>
      <c r="G3" s="28" t="s">
        <v>26</v>
      </c>
      <c r="H3" s="124" t="s">
        <v>52</v>
      </c>
      <c r="I3" s="30" t="s">
        <v>404</v>
      </c>
      <c r="J3" s="32"/>
    </row>
    <row r="4" spans="1:10" ht="110.25">
      <c r="A4" s="158"/>
      <c r="B4" s="77" t="s">
        <v>405</v>
      </c>
      <c r="C4" s="66">
        <v>1</v>
      </c>
      <c r="D4" s="53">
        <v>285</v>
      </c>
      <c r="E4" s="28"/>
      <c r="F4" s="29" t="s">
        <v>406</v>
      </c>
      <c r="G4" s="28" t="s">
        <v>26</v>
      </c>
      <c r="H4" s="124" t="s">
        <v>52</v>
      </c>
      <c r="I4" s="30" t="s">
        <v>407</v>
      </c>
      <c r="J4" s="32"/>
    </row>
    <row r="5" spans="1:10" ht="15.75">
      <c r="A5" s="158"/>
      <c r="B5" s="77" t="s">
        <v>408</v>
      </c>
      <c r="C5" s="66">
        <v>1</v>
      </c>
      <c r="D5" s="53">
        <v>276</v>
      </c>
      <c r="E5" s="28"/>
      <c r="F5" s="29" t="s">
        <v>83</v>
      </c>
      <c r="G5" s="28" t="s">
        <v>75</v>
      </c>
      <c r="H5" s="28"/>
      <c r="I5" s="28"/>
      <c r="J5" s="32"/>
    </row>
    <row r="6" spans="1:10" ht="189">
      <c r="A6" s="158"/>
      <c r="B6" s="77" t="s">
        <v>409</v>
      </c>
      <c r="C6" s="66">
        <v>1</v>
      </c>
      <c r="D6" s="53">
        <v>285</v>
      </c>
      <c r="E6" s="28"/>
      <c r="F6" s="29" t="s">
        <v>410</v>
      </c>
      <c r="G6" s="28" t="s">
        <v>26</v>
      </c>
      <c r="H6" s="124" t="s">
        <v>52</v>
      </c>
      <c r="I6" s="30" t="s">
        <v>411</v>
      </c>
      <c r="J6" s="32"/>
    </row>
    <row r="7" spans="1:10" ht="79.5" customHeight="1">
      <c r="A7" s="158" t="s">
        <v>412</v>
      </c>
      <c r="B7" s="77" t="s">
        <v>413</v>
      </c>
      <c r="C7" s="66">
        <v>1</v>
      </c>
      <c r="D7" s="53">
        <v>639</v>
      </c>
      <c r="E7" s="28"/>
      <c r="F7" s="29" t="s">
        <v>414</v>
      </c>
      <c r="G7" s="28" t="s">
        <v>75</v>
      </c>
      <c r="H7" s="124"/>
      <c r="I7" s="28"/>
      <c r="J7" s="32"/>
    </row>
    <row r="8" spans="1:10" ht="63">
      <c r="A8" s="158"/>
      <c r="B8" s="77" t="s">
        <v>415</v>
      </c>
      <c r="C8" s="66">
        <v>1</v>
      </c>
      <c r="D8" s="53">
        <v>352</v>
      </c>
      <c r="E8" s="28"/>
      <c r="F8" s="29" t="s">
        <v>416</v>
      </c>
      <c r="G8" s="28" t="s">
        <v>75</v>
      </c>
      <c r="H8" s="124" t="s">
        <v>52</v>
      </c>
      <c r="I8" s="30" t="s">
        <v>417</v>
      </c>
      <c r="J8" s="32"/>
    </row>
    <row r="9" spans="1:10" ht="32.25" customHeight="1">
      <c r="A9" s="158" t="s">
        <v>418</v>
      </c>
      <c r="B9" s="77" t="s">
        <v>419</v>
      </c>
      <c r="C9" s="66">
        <v>1</v>
      </c>
      <c r="D9" s="53">
        <v>419</v>
      </c>
      <c r="E9" s="28"/>
      <c r="F9" s="29" t="s">
        <v>420</v>
      </c>
      <c r="G9" s="28" t="s">
        <v>75</v>
      </c>
      <c r="H9" s="28"/>
      <c r="I9" s="30" t="s">
        <v>421</v>
      </c>
      <c r="J9" s="32"/>
    </row>
    <row r="10" spans="1:10" ht="94.5">
      <c r="A10" s="158"/>
      <c r="B10" s="77" t="s">
        <v>422</v>
      </c>
      <c r="C10" s="66">
        <v>1</v>
      </c>
      <c r="D10" s="53">
        <v>548</v>
      </c>
      <c r="E10" s="28"/>
      <c r="F10" s="29" t="s">
        <v>423</v>
      </c>
      <c r="G10" s="28" t="s">
        <v>26</v>
      </c>
      <c r="H10" s="28"/>
      <c r="I10" s="30" t="s">
        <v>424</v>
      </c>
      <c r="J10" s="32"/>
    </row>
    <row r="11" spans="1:10" ht="63">
      <c r="A11" s="158"/>
      <c r="B11" s="77" t="s">
        <v>425</v>
      </c>
      <c r="C11" s="78">
        <v>2</v>
      </c>
      <c r="D11" s="57">
        <v>732</v>
      </c>
      <c r="E11" s="35"/>
      <c r="F11" s="36" t="s">
        <v>426</v>
      </c>
      <c r="G11" s="35" t="s">
        <v>75</v>
      </c>
      <c r="H11" s="35"/>
      <c r="I11" s="35" t="s">
        <v>427</v>
      </c>
      <c r="J11" s="37"/>
    </row>
  </sheetData>
  <mergeCells count="3">
    <mergeCell ref="A2:A6"/>
    <mergeCell ref="A7:A8"/>
    <mergeCell ref="A9:A11"/>
  </mergeCells>
  <dataValidations count="1">
    <dataValidation type="list" operator="equal" showErrorMessage="1" sqref="G2:G11" xr:uid="{00000000-0002-0000-0400-000000000000}">
      <formula1>"Valid,Non-valid,Not Applicable"</formula1>
      <formula2>0</formula2>
    </dataValidation>
  </dataValidations>
  <hyperlinks>
    <hyperlink ref="H2" r:id="rId1" xr:uid="{D31FFBA0-5976-4574-8EC2-CD272768E1CF}"/>
    <hyperlink ref="H3" r:id="rId2" xr:uid="{F7E302BE-39B6-4B3B-9F26-EEF0E13E491E}"/>
    <hyperlink ref="H4" r:id="rId3" xr:uid="{DF4D7DEC-301B-4EC0-B53E-FC69CFB16FA8}"/>
    <hyperlink ref="H6" r:id="rId4" xr:uid="{400AD89A-4F14-4A35-B046-CC5F1CCCBD4C}"/>
    <hyperlink ref="H8" r:id="rId5" xr:uid="{6F2D7A31-1B6F-469C-9A00-911871FF518B}"/>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31"/>
  <sheetViews>
    <sheetView topLeftCell="A46" zoomScale="95" zoomScaleNormal="95" workbookViewId="0">
      <selection activeCell="F31" sqref="F31"/>
    </sheetView>
  </sheetViews>
  <sheetFormatPr defaultColWidth="8.7109375" defaultRowHeight="21"/>
  <cols>
    <col min="1" max="1" width="53.42578125" style="72" customWidth="1"/>
    <col min="2" max="2" width="11.42578125" style="25" customWidth="1"/>
    <col min="3" max="5" width="8.7109375" style="59"/>
    <col min="6" max="6" width="60.7109375" style="25" customWidth="1"/>
    <col min="7" max="7" width="22.7109375" style="25" customWidth="1"/>
    <col min="8" max="8" width="41.28515625" style="25" customWidth="1"/>
    <col min="9" max="9" width="35.28515625" style="25" customWidth="1"/>
    <col min="10" max="10" width="29" style="25" customWidth="1"/>
    <col min="11" max="1024" width="8.7109375" style="25"/>
  </cols>
  <sheetData>
    <row r="1" spans="1:10" s="43" customFormat="1" ht="42">
      <c r="A1" s="40" t="s">
        <v>20</v>
      </c>
      <c r="B1" s="61" t="s">
        <v>21</v>
      </c>
      <c r="C1" s="60" t="s">
        <v>22</v>
      </c>
      <c r="D1" s="60" t="s">
        <v>23</v>
      </c>
      <c r="E1" s="60" t="s">
        <v>24</v>
      </c>
      <c r="F1" s="61" t="s">
        <v>25</v>
      </c>
      <c r="G1" s="61" t="s">
        <v>26</v>
      </c>
      <c r="H1" s="61" t="s">
        <v>27</v>
      </c>
      <c r="I1" s="61" t="s">
        <v>28</v>
      </c>
      <c r="J1" s="61" t="s">
        <v>29</v>
      </c>
    </row>
    <row r="2" spans="1:10" ht="79.5" customHeight="1">
      <c r="A2" s="158" t="s">
        <v>428</v>
      </c>
      <c r="B2" s="62" t="s">
        <v>429</v>
      </c>
      <c r="C2" s="63">
        <v>1</v>
      </c>
      <c r="D2" s="46">
        <v>235</v>
      </c>
      <c r="E2" s="64"/>
      <c r="F2" s="79" t="s">
        <v>430</v>
      </c>
      <c r="G2" s="49" t="s">
        <v>75</v>
      </c>
      <c r="H2" s="130"/>
      <c r="I2" s="49"/>
      <c r="J2" s="65"/>
    </row>
    <row r="3" spans="1:10" ht="94.5">
      <c r="A3" s="158"/>
      <c r="B3" s="62" t="s">
        <v>431</v>
      </c>
      <c r="C3" s="66">
        <v>1</v>
      </c>
      <c r="D3" s="53">
        <v>915</v>
      </c>
      <c r="E3" s="67"/>
      <c r="F3" s="80" t="s">
        <v>432</v>
      </c>
      <c r="G3" s="28" t="s">
        <v>26</v>
      </c>
      <c r="H3" s="124" t="s">
        <v>175</v>
      </c>
      <c r="I3" s="30" t="s">
        <v>433</v>
      </c>
      <c r="J3" s="32"/>
    </row>
    <row r="4" spans="1:10" ht="78.75">
      <c r="A4" s="158"/>
      <c r="B4" s="62" t="s">
        <v>434</v>
      </c>
      <c r="C4" s="66">
        <v>1</v>
      </c>
      <c r="D4" s="53">
        <v>20</v>
      </c>
      <c r="E4" s="67"/>
      <c r="F4" s="80" t="s">
        <v>435</v>
      </c>
      <c r="G4" s="28" t="s">
        <v>26</v>
      </c>
      <c r="H4" s="124" t="s">
        <v>436</v>
      </c>
      <c r="I4" s="30" t="s">
        <v>437</v>
      </c>
      <c r="J4" s="32"/>
    </row>
    <row r="5" spans="1:10" ht="110.25">
      <c r="A5" s="158"/>
      <c r="B5" s="62" t="s">
        <v>438</v>
      </c>
      <c r="C5" s="66">
        <v>1</v>
      </c>
      <c r="D5" s="53">
        <v>20</v>
      </c>
      <c r="E5" s="67"/>
      <c r="F5" s="80" t="s">
        <v>439</v>
      </c>
      <c r="G5" s="28" t="s">
        <v>26</v>
      </c>
      <c r="H5" s="124" t="s">
        <v>440</v>
      </c>
      <c r="I5" s="30" t="s">
        <v>441</v>
      </c>
      <c r="J5" s="32"/>
    </row>
    <row r="6" spans="1:10" ht="47.25">
      <c r="A6" s="158"/>
      <c r="B6" s="62" t="s">
        <v>442</v>
      </c>
      <c r="C6" s="66">
        <v>1</v>
      </c>
      <c r="D6" s="53">
        <v>601</v>
      </c>
      <c r="E6" s="67"/>
      <c r="F6" s="80" t="s">
        <v>443</v>
      </c>
      <c r="G6" s="28" t="s">
        <v>75</v>
      </c>
      <c r="H6" s="28"/>
      <c r="I6" s="28"/>
      <c r="J6" s="32"/>
    </row>
    <row r="7" spans="1:10" ht="63.75" customHeight="1">
      <c r="A7" s="158" t="s">
        <v>444</v>
      </c>
      <c r="B7" s="62" t="s">
        <v>310</v>
      </c>
      <c r="C7" s="66">
        <v>1</v>
      </c>
      <c r="D7" s="53">
        <v>116</v>
      </c>
      <c r="E7" s="67"/>
      <c r="F7" s="80" t="s">
        <v>445</v>
      </c>
      <c r="G7" s="28" t="s">
        <v>75</v>
      </c>
      <c r="H7" s="28"/>
      <c r="I7" s="28"/>
      <c r="J7" s="32"/>
    </row>
    <row r="8" spans="1:10" ht="31.5">
      <c r="A8" s="158"/>
      <c r="B8" s="62" t="s">
        <v>446</v>
      </c>
      <c r="C8" s="66">
        <v>1</v>
      </c>
      <c r="D8" s="53">
        <v>138</v>
      </c>
      <c r="E8" s="67"/>
      <c r="F8" s="80" t="s">
        <v>447</v>
      </c>
      <c r="G8" s="28" t="s">
        <v>26</v>
      </c>
      <c r="H8" s="124" t="s">
        <v>448</v>
      </c>
      <c r="I8" s="28" t="s">
        <v>449</v>
      </c>
      <c r="J8" s="32"/>
    </row>
    <row r="9" spans="1:10" ht="32.25" thickBot="1">
      <c r="A9" s="158"/>
      <c r="B9" s="62" t="s">
        <v>313</v>
      </c>
      <c r="C9" s="66">
        <v>1</v>
      </c>
      <c r="D9" s="53">
        <v>147</v>
      </c>
      <c r="E9" s="67"/>
      <c r="F9" s="80" t="s">
        <v>450</v>
      </c>
      <c r="G9" s="28" t="s">
        <v>75</v>
      </c>
      <c r="H9" s="28"/>
      <c r="I9" s="28"/>
      <c r="J9" s="32"/>
    </row>
    <row r="10" spans="1:10" ht="63.75" thickBot="1">
      <c r="A10" s="158"/>
      <c r="B10" s="62" t="s">
        <v>451</v>
      </c>
      <c r="C10" s="66">
        <v>1</v>
      </c>
      <c r="D10" s="53">
        <v>95</v>
      </c>
      <c r="E10" s="67"/>
      <c r="F10" s="80" t="s">
        <v>452</v>
      </c>
      <c r="G10" s="28" t="s">
        <v>26</v>
      </c>
      <c r="H10" s="28" t="s">
        <v>453</v>
      </c>
      <c r="I10" s="141" t="s">
        <v>454</v>
      </c>
      <c r="J10" s="32"/>
    </row>
    <row r="11" spans="1:10" ht="48" thickBot="1">
      <c r="A11" s="158"/>
      <c r="B11" s="62" t="s">
        <v>218</v>
      </c>
      <c r="C11" s="66">
        <v>1</v>
      </c>
      <c r="D11" s="53">
        <v>94</v>
      </c>
      <c r="E11" s="67"/>
      <c r="F11" s="80" t="s">
        <v>455</v>
      </c>
      <c r="G11" s="28" t="s">
        <v>26</v>
      </c>
      <c r="H11" s="28"/>
      <c r="I11" s="28" t="s">
        <v>456</v>
      </c>
      <c r="J11" s="32"/>
    </row>
    <row r="12" spans="1:10" ht="63">
      <c r="A12" s="158"/>
      <c r="B12" s="62" t="s">
        <v>221</v>
      </c>
      <c r="C12" s="66">
        <v>1</v>
      </c>
      <c r="D12" s="53">
        <v>918</v>
      </c>
      <c r="E12" s="67"/>
      <c r="F12" s="80" t="s">
        <v>457</v>
      </c>
      <c r="G12" s="28" t="s">
        <v>26</v>
      </c>
      <c r="H12" s="124" t="s">
        <v>453</v>
      </c>
      <c r="I12" s="30" t="s">
        <v>458</v>
      </c>
      <c r="J12" s="32"/>
    </row>
    <row r="13" spans="1:10" ht="63">
      <c r="A13" s="158"/>
      <c r="B13" s="62" t="s">
        <v>459</v>
      </c>
      <c r="C13" s="66">
        <v>1</v>
      </c>
      <c r="D13" s="53">
        <v>159</v>
      </c>
      <c r="E13" s="67"/>
      <c r="F13" s="80" t="s">
        <v>460</v>
      </c>
      <c r="G13" s="28" t="s">
        <v>26</v>
      </c>
      <c r="H13" s="124" t="s">
        <v>453</v>
      </c>
      <c r="I13" s="30" t="s">
        <v>461</v>
      </c>
      <c r="J13" s="32"/>
    </row>
    <row r="14" spans="1:10" ht="63">
      <c r="A14" s="158"/>
      <c r="B14" s="62" t="s">
        <v>224</v>
      </c>
      <c r="C14" s="66">
        <v>1</v>
      </c>
      <c r="D14" s="53">
        <v>94</v>
      </c>
      <c r="E14" s="67"/>
      <c r="F14" s="80" t="s">
        <v>462</v>
      </c>
      <c r="G14" s="28" t="s">
        <v>26</v>
      </c>
      <c r="H14" s="124" t="s">
        <v>453</v>
      </c>
      <c r="I14" s="30" t="s">
        <v>461</v>
      </c>
      <c r="J14" s="32"/>
    </row>
    <row r="15" spans="1:10" ht="126.75" customHeight="1">
      <c r="A15" s="158" t="s">
        <v>463</v>
      </c>
      <c r="B15" s="62" t="s">
        <v>464</v>
      </c>
      <c r="C15" s="66">
        <v>1</v>
      </c>
      <c r="D15" s="53">
        <v>116</v>
      </c>
      <c r="E15" s="67"/>
      <c r="F15" s="80" t="s">
        <v>465</v>
      </c>
      <c r="G15" s="28" t="s">
        <v>75</v>
      </c>
      <c r="H15" s="28"/>
      <c r="I15" s="28"/>
      <c r="J15" s="32"/>
    </row>
    <row r="16" spans="1:10" ht="78.75">
      <c r="A16" s="158"/>
      <c r="B16" s="62" t="s">
        <v>466</v>
      </c>
      <c r="C16" s="66">
        <v>1</v>
      </c>
      <c r="D16" s="53">
        <v>176</v>
      </c>
      <c r="E16" s="67"/>
      <c r="F16" s="80" t="s">
        <v>467</v>
      </c>
      <c r="G16" s="28" t="s">
        <v>26</v>
      </c>
      <c r="H16" s="28" t="s">
        <v>453</v>
      </c>
      <c r="I16" s="141" t="s">
        <v>468</v>
      </c>
      <c r="J16" s="32"/>
    </row>
    <row r="17" spans="1:10" ht="63">
      <c r="A17" s="158"/>
      <c r="B17" s="62" t="s">
        <v>469</v>
      </c>
      <c r="C17" s="66">
        <v>1</v>
      </c>
      <c r="D17" s="53">
        <v>79</v>
      </c>
      <c r="E17" s="67"/>
      <c r="F17" s="80" t="s">
        <v>470</v>
      </c>
      <c r="G17" s="28" t="s">
        <v>75</v>
      </c>
      <c r="H17" s="28"/>
      <c r="I17" s="148"/>
      <c r="J17" s="32"/>
    </row>
    <row r="18" spans="1:10" ht="189">
      <c r="A18" s="158"/>
      <c r="B18" s="62" t="s">
        <v>471</v>
      </c>
      <c r="C18" s="66">
        <v>1</v>
      </c>
      <c r="D18" s="53">
        <v>89</v>
      </c>
      <c r="E18" s="67"/>
      <c r="F18" s="80" t="s">
        <v>472</v>
      </c>
      <c r="G18" s="28" t="s">
        <v>26</v>
      </c>
      <c r="H18" s="124" t="s">
        <v>473</v>
      </c>
      <c r="I18" s="147" t="s">
        <v>474</v>
      </c>
      <c r="J18" s="32"/>
    </row>
    <row r="19" spans="1:10" ht="94.5">
      <c r="A19" s="158"/>
      <c r="B19" s="62" t="s">
        <v>475</v>
      </c>
      <c r="C19" s="66">
        <v>1</v>
      </c>
      <c r="D19" s="53">
        <v>89</v>
      </c>
      <c r="E19" s="67"/>
      <c r="F19" s="80" t="s">
        <v>476</v>
      </c>
      <c r="G19" s="28" t="s">
        <v>75</v>
      </c>
      <c r="H19" s="28"/>
      <c r="I19" s="28"/>
      <c r="J19" s="32"/>
    </row>
    <row r="20" spans="1:10" ht="63">
      <c r="A20" s="158"/>
      <c r="B20" s="62" t="s">
        <v>477</v>
      </c>
      <c r="C20" s="66">
        <v>1</v>
      </c>
      <c r="D20" s="53">
        <v>830</v>
      </c>
      <c r="E20" s="67"/>
      <c r="F20" s="80" t="s">
        <v>478</v>
      </c>
      <c r="G20" s="28" t="s">
        <v>75</v>
      </c>
      <c r="H20" s="28"/>
      <c r="I20" s="28"/>
      <c r="J20" s="32"/>
    </row>
    <row r="21" spans="1:10" ht="78.75">
      <c r="A21" s="158"/>
      <c r="B21" s="62" t="s">
        <v>479</v>
      </c>
      <c r="C21" s="66">
        <v>1</v>
      </c>
      <c r="D21" s="53">
        <v>943</v>
      </c>
      <c r="E21" s="67"/>
      <c r="F21" s="80" t="s">
        <v>480</v>
      </c>
      <c r="G21" s="28" t="s">
        <v>75</v>
      </c>
      <c r="H21" s="28"/>
      <c r="I21" s="28"/>
      <c r="J21" s="32"/>
    </row>
    <row r="22" spans="1:10" ht="78.75">
      <c r="A22" s="158"/>
      <c r="B22" s="62" t="s">
        <v>481</v>
      </c>
      <c r="C22" s="66">
        <v>1</v>
      </c>
      <c r="D22" s="53">
        <v>78</v>
      </c>
      <c r="E22" s="67"/>
      <c r="F22" s="80" t="s">
        <v>482</v>
      </c>
      <c r="G22" s="28" t="s">
        <v>75</v>
      </c>
      <c r="H22" s="28"/>
      <c r="I22" s="28"/>
      <c r="J22" s="32"/>
    </row>
    <row r="23" spans="1:10" ht="31.5">
      <c r="A23" s="158"/>
      <c r="B23" s="62" t="s">
        <v>483</v>
      </c>
      <c r="C23" s="66">
        <v>1</v>
      </c>
      <c r="D23" s="53">
        <v>829</v>
      </c>
      <c r="E23" s="27"/>
      <c r="F23" s="80" t="s">
        <v>484</v>
      </c>
      <c r="G23" s="28" t="s">
        <v>26</v>
      </c>
      <c r="H23" s="124" t="s">
        <v>453</v>
      </c>
      <c r="I23" s="28" t="s">
        <v>485</v>
      </c>
      <c r="J23" s="32"/>
    </row>
    <row r="24" spans="1:10" ht="47.25">
      <c r="A24" s="158"/>
      <c r="B24" s="62" t="s">
        <v>486</v>
      </c>
      <c r="C24" s="66">
        <v>1</v>
      </c>
      <c r="D24" s="53">
        <v>643</v>
      </c>
      <c r="E24" s="27"/>
      <c r="F24" s="80" t="s">
        <v>487</v>
      </c>
      <c r="G24" s="28" t="s">
        <v>26</v>
      </c>
      <c r="H24" s="124" t="s">
        <v>453</v>
      </c>
      <c r="I24" s="28" t="s">
        <v>488</v>
      </c>
      <c r="J24" s="32"/>
    </row>
    <row r="25" spans="1:10" ht="48" customHeight="1">
      <c r="A25" s="158" t="s">
        <v>489</v>
      </c>
      <c r="B25" s="62" t="s">
        <v>490</v>
      </c>
      <c r="C25" s="68">
        <v>2</v>
      </c>
      <c r="D25" s="53">
        <v>120</v>
      </c>
      <c r="E25" s="27"/>
      <c r="F25" s="80" t="s">
        <v>491</v>
      </c>
      <c r="G25" s="28" t="s">
        <v>75</v>
      </c>
      <c r="H25" s="28"/>
      <c r="I25" s="30" t="s">
        <v>492</v>
      </c>
      <c r="J25" s="32"/>
    </row>
    <row r="26" spans="1:10" ht="31.5">
      <c r="A26" s="158"/>
      <c r="B26" s="62" t="s">
        <v>493</v>
      </c>
      <c r="C26" s="68">
        <v>2</v>
      </c>
      <c r="D26" s="53">
        <v>134</v>
      </c>
      <c r="E26" s="27"/>
      <c r="F26" s="80" t="s">
        <v>494</v>
      </c>
      <c r="G26" s="28" t="s">
        <v>75</v>
      </c>
      <c r="H26" s="28"/>
      <c r="I26" s="28"/>
      <c r="J26" s="32"/>
    </row>
    <row r="27" spans="1:10" ht="31.5">
      <c r="A27" s="158"/>
      <c r="B27" s="62" t="s">
        <v>495</v>
      </c>
      <c r="C27" s="68">
        <v>2</v>
      </c>
      <c r="D27" s="53">
        <v>190</v>
      </c>
      <c r="E27" s="27"/>
      <c r="F27" s="80" t="s">
        <v>496</v>
      </c>
      <c r="G27" s="28" t="s">
        <v>75</v>
      </c>
      <c r="H27" s="28"/>
      <c r="I27" s="28"/>
      <c r="J27" s="32"/>
    </row>
    <row r="28" spans="1:10" ht="63.75" customHeight="1" thickBot="1">
      <c r="A28" s="158" t="s">
        <v>497</v>
      </c>
      <c r="B28" s="62" t="s">
        <v>498</v>
      </c>
      <c r="C28" s="66">
        <v>1</v>
      </c>
      <c r="D28" s="53">
        <v>502</v>
      </c>
      <c r="E28" s="27"/>
      <c r="F28" s="80" t="s">
        <v>499</v>
      </c>
      <c r="G28" s="28" t="s">
        <v>26</v>
      </c>
      <c r="H28" s="124" t="s">
        <v>52</v>
      </c>
      <c r="I28" s="28" t="s">
        <v>500</v>
      </c>
      <c r="J28" s="32"/>
    </row>
    <row r="29" spans="1:10" ht="63.75" thickBot="1">
      <c r="A29" s="158"/>
      <c r="B29" s="62" t="s">
        <v>501</v>
      </c>
      <c r="C29" s="66">
        <v>1</v>
      </c>
      <c r="D29" s="53">
        <v>611</v>
      </c>
      <c r="E29" s="27"/>
      <c r="F29" s="80" t="s">
        <v>502</v>
      </c>
      <c r="G29" s="28" t="s">
        <v>26</v>
      </c>
      <c r="H29" s="124" t="s">
        <v>453</v>
      </c>
      <c r="I29" s="141" t="s">
        <v>503</v>
      </c>
      <c r="J29" s="32"/>
    </row>
    <row r="30" spans="1:10" ht="48" thickBot="1">
      <c r="A30" s="158"/>
      <c r="B30" s="62" t="s">
        <v>504</v>
      </c>
      <c r="C30" s="66">
        <v>1</v>
      </c>
      <c r="D30" s="53">
        <v>502</v>
      </c>
      <c r="E30" s="27"/>
      <c r="F30" s="80" t="s">
        <v>505</v>
      </c>
      <c r="G30" s="28" t="s">
        <v>26</v>
      </c>
      <c r="H30" s="124" t="s">
        <v>268</v>
      </c>
      <c r="I30" s="141" t="s">
        <v>506</v>
      </c>
      <c r="J30" s="32"/>
    </row>
    <row r="31" spans="1:10" ht="48" thickBot="1">
      <c r="A31" s="158"/>
      <c r="B31" s="62" t="s">
        <v>507</v>
      </c>
      <c r="C31" s="70">
        <v>1</v>
      </c>
      <c r="D31" s="57">
        <v>95</v>
      </c>
      <c r="E31" s="34"/>
      <c r="F31" s="81" t="s">
        <v>508</v>
      </c>
      <c r="G31" s="35" t="s">
        <v>75</v>
      </c>
      <c r="H31" s="35"/>
      <c r="I31" s="35"/>
      <c r="J31" s="37"/>
    </row>
  </sheetData>
  <mergeCells count="5">
    <mergeCell ref="A2:A6"/>
    <mergeCell ref="A7:A14"/>
    <mergeCell ref="A15:A24"/>
    <mergeCell ref="A25:A27"/>
    <mergeCell ref="A28:A31"/>
  </mergeCells>
  <dataValidations count="1">
    <dataValidation type="list" operator="equal" showErrorMessage="1" sqref="G2:G31 H25" xr:uid="{00000000-0002-0000-0500-000000000000}">
      <formula1>"Valid,Non-valid,Not Applicable"</formula1>
      <formula2>0</formula2>
    </dataValidation>
  </dataValidations>
  <hyperlinks>
    <hyperlink ref="H3" r:id="rId1" xr:uid="{F3164F80-3CA2-4A67-A31A-065FED63672C}"/>
    <hyperlink ref="H4" r:id="rId2" xr:uid="{B7852959-4F45-47AE-8DDA-002C600A4AE1}"/>
    <hyperlink ref="H5" r:id="rId3" xr:uid="{BFB94FB0-972D-455F-89BC-1CDA24BDAD96}"/>
    <hyperlink ref="H8" r:id="rId4" xr:uid="{247F1544-5085-4191-9B83-E8E8CA43F5AB}"/>
    <hyperlink ref="H12" r:id="rId5" xr:uid="{D1D044A0-620D-40E0-9C12-23FCA50069B3}"/>
    <hyperlink ref="H13" r:id="rId6" xr:uid="{55A196CD-24DF-4632-9C46-8F1B6F024CAF}"/>
    <hyperlink ref="H14" r:id="rId7" xr:uid="{6B239A0E-9C1E-4B47-8A1B-FC5958E11DFA}"/>
    <hyperlink ref="H18" r:id="rId8" xr:uid="{F05A50E1-6EBB-4B81-842D-9F45F3F70440}"/>
    <hyperlink ref="H23" r:id="rId9" xr:uid="{904F8DC2-9CFC-4885-AA22-6D7B4C78C887}"/>
    <hyperlink ref="H28" r:id="rId10" xr:uid="{265A6AA4-F840-4516-B1C9-1B6F6996B063}"/>
    <hyperlink ref="H24" r:id="rId11" xr:uid="{EBF72114-C899-8A44-9ACE-6F730C1FDB0E}"/>
    <hyperlink ref="H29" r:id="rId12" xr:uid="{A5453578-CC95-B74F-A13C-321AA4BED1AF}"/>
    <hyperlink ref="H30" r:id="rId13" xr:uid="{4D3F1929-265A-194B-85A6-D30FE6E1D60E}"/>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7"/>
  <sheetViews>
    <sheetView topLeftCell="A6" zoomScale="95" zoomScaleNormal="95" workbookViewId="0">
      <selection activeCell="H1" sqref="H1:H1048576"/>
    </sheetView>
  </sheetViews>
  <sheetFormatPr defaultColWidth="8.7109375" defaultRowHeight="21"/>
  <cols>
    <col min="1" max="1" width="35.28515625" style="72" customWidth="1"/>
    <col min="2" max="2" width="6.7109375" style="25" customWidth="1"/>
    <col min="3" max="3" width="12.42578125" style="59" customWidth="1"/>
    <col min="4" max="5" width="8.7109375" style="59"/>
    <col min="6" max="6" width="97.140625" style="25" customWidth="1"/>
    <col min="7" max="7" width="8.42578125" style="25" customWidth="1"/>
    <col min="8" max="8" width="36.140625" style="25" customWidth="1"/>
    <col min="9" max="9" width="18" style="25" customWidth="1"/>
    <col min="10" max="10" width="27.28515625" style="25" customWidth="1"/>
    <col min="11" max="1024" width="8.7109375" style="25"/>
  </cols>
  <sheetData>
    <row r="1" spans="1:10" s="43" customFormat="1" ht="42">
      <c r="A1" s="40" t="s">
        <v>20</v>
      </c>
      <c r="B1" s="61" t="s">
        <v>21</v>
      </c>
      <c r="C1" s="60" t="s">
        <v>22</v>
      </c>
      <c r="D1" s="60" t="s">
        <v>23</v>
      </c>
      <c r="E1" s="60" t="s">
        <v>24</v>
      </c>
      <c r="F1" s="61" t="s">
        <v>25</v>
      </c>
      <c r="G1" s="61" t="s">
        <v>26</v>
      </c>
      <c r="H1" s="61" t="s">
        <v>27</v>
      </c>
      <c r="I1" s="61" t="s">
        <v>28</v>
      </c>
      <c r="J1" s="61" t="s">
        <v>29</v>
      </c>
    </row>
    <row r="2" spans="1:10" ht="48" customHeight="1">
      <c r="A2" s="158" t="s">
        <v>509</v>
      </c>
      <c r="B2" s="62" t="s">
        <v>510</v>
      </c>
      <c r="C2" s="82">
        <v>2</v>
      </c>
      <c r="D2" s="46">
        <v>311</v>
      </c>
      <c r="E2" s="64"/>
      <c r="F2" s="79" t="s">
        <v>511</v>
      </c>
      <c r="G2" s="49" t="s">
        <v>26</v>
      </c>
      <c r="H2" s="50" t="s">
        <v>512</v>
      </c>
      <c r="I2" s="49" t="s">
        <v>513</v>
      </c>
      <c r="J2" s="65"/>
    </row>
    <row r="3" spans="1:10" ht="31.5">
      <c r="A3" s="158"/>
      <c r="B3" s="62" t="s">
        <v>514</v>
      </c>
      <c r="C3" s="68">
        <v>2</v>
      </c>
      <c r="D3" s="53">
        <v>311</v>
      </c>
      <c r="E3" s="67"/>
      <c r="F3" s="80" t="s">
        <v>515</v>
      </c>
      <c r="G3" s="28" t="s">
        <v>75</v>
      </c>
      <c r="H3" s="28"/>
      <c r="I3" s="28"/>
      <c r="J3" s="32"/>
    </row>
    <row r="4" spans="1:10" ht="48" thickBot="1">
      <c r="A4" s="158"/>
      <c r="B4" s="62" t="s">
        <v>234</v>
      </c>
      <c r="C4" s="68">
        <v>2</v>
      </c>
      <c r="D4" s="53">
        <v>311</v>
      </c>
      <c r="E4" s="67"/>
      <c r="F4" s="80" t="s">
        <v>516</v>
      </c>
      <c r="G4" s="28" t="s">
        <v>75</v>
      </c>
      <c r="H4" s="28"/>
      <c r="I4" s="28"/>
      <c r="J4" s="32"/>
    </row>
    <row r="5" spans="1:10" ht="32.25" customHeight="1" thickBot="1">
      <c r="A5" s="158" t="s">
        <v>517</v>
      </c>
      <c r="B5" s="62" t="s">
        <v>518</v>
      </c>
      <c r="C5" s="66">
        <v>1</v>
      </c>
      <c r="D5" s="53">
        <v>310</v>
      </c>
      <c r="E5" s="67"/>
      <c r="F5" s="80" t="s">
        <v>519</v>
      </c>
      <c r="G5" s="28" t="s">
        <v>26</v>
      </c>
      <c r="H5" s="30" t="s">
        <v>512</v>
      </c>
      <c r="I5" s="28" t="s">
        <v>520</v>
      </c>
      <c r="J5" s="32"/>
    </row>
    <row r="6" spans="1:10" ht="103.5" thickBot="1">
      <c r="A6" s="158"/>
      <c r="B6" s="62" t="s">
        <v>521</v>
      </c>
      <c r="C6" s="68">
        <v>2</v>
      </c>
      <c r="D6" s="53">
        <v>327</v>
      </c>
      <c r="E6" s="67"/>
      <c r="F6" s="80" t="s">
        <v>522</v>
      </c>
      <c r="G6" s="28" t="s">
        <v>26</v>
      </c>
      <c r="H6" s="151" t="s">
        <v>523</v>
      </c>
      <c r="I6" s="28" t="s">
        <v>524</v>
      </c>
      <c r="J6" s="32"/>
    </row>
    <row r="7" spans="1:10" ht="409.6" thickBot="1">
      <c r="A7" s="158"/>
      <c r="B7" s="62" t="s">
        <v>525</v>
      </c>
      <c r="C7" s="68">
        <v>2</v>
      </c>
      <c r="D7" s="53">
        <v>326</v>
      </c>
      <c r="E7" s="67"/>
      <c r="F7" s="80" t="s">
        <v>526</v>
      </c>
      <c r="G7" s="28" t="s">
        <v>26</v>
      </c>
      <c r="H7" s="30" t="s">
        <v>512</v>
      </c>
      <c r="I7" s="28" t="s">
        <v>527</v>
      </c>
      <c r="J7" s="32"/>
    </row>
    <row r="8" spans="1:10" ht="282" thickBot="1">
      <c r="A8" s="158"/>
      <c r="B8" s="62" t="s">
        <v>528</v>
      </c>
      <c r="C8" s="68">
        <v>2</v>
      </c>
      <c r="D8" s="53">
        <v>326</v>
      </c>
      <c r="E8" s="67"/>
      <c r="F8" s="80" t="s">
        <v>529</v>
      </c>
      <c r="G8" s="28" t="s">
        <v>26</v>
      </c>
      <c r="H8" s="123" t="s">
        <v>530</v>
      </c>
      <c r="I8" s="28" t="s">
        <v>531</v>
      </c>
      <c r="J8" s="32"/>
    </row>
    <row r="9" spans="1:10" ht="48" thickBot="1">
      <c r="A9" s="158"/>
      <c r="B9" s="62" t="s">
        <v>532</v>
      </c>
      <c r="C9" s="68">
        <v>2</v>
      </c>
      <c r="D9" s="53">
        <v>326</v>
      </c>
      <c r="E9" s="67"/>
      <c r="F9" s="80" t="s">
        <v>533</v>
      </c>
      <c r="G9" s="28" t="s">
        <v>26</v>
      </c>
      <c r="H9" s="124" t="s">
        <v>52</v>
      </c>
      <c r="I9" s="28" t="s">
        <v>534</v>
      </c>
      <c r="J9" s="32"/>
    </row>
    <row r="10" spans="1:10" ht="48" thickBot="1">
      <c r="A10" s="158"/>
      <c r="B10" s="62" t="s">
        <v>535</v>
      </c>
      <c r="C10" s="68">
        <v>2</v>
      </c>
      <c r="D10" s="53">
        <v>326</v>
      </c>
      <c r="E10" s="67"/>
      <c r="F10" s="80" t="s">
        <v>536</v>
      </c>
      <c r="G10" s="28" t="s">
        <v>26</v>
      </c>
      <c r="H10" s="28" t="s">
        <v>52</v>
      </c>
      <c r="I10" s="28" t="s">
        <v>537</v>
      </c>
      <c r="J10" s="32"/>
    </row>
    <row r="11" spans="1:10" ht="331.5" thickBot="1">
      <c r="A11" s="158"/>
      <c r="B11" s="62" t="s">
        <v>538</v>
      </c>
      <c r="C11" s="69">
        <v>3</v>
      </c>
      <c r="D11" s="53">
        <v>326</v>
      </c>
      <c r="E11" s="67"/>
      <c r="F11" s="80" t="s">
        <v>539</v>
      </c>
      <c r="G11" s="28" t="s">
        <v>26</v>
      </c>
      <c r="H11" s="30" t="s">
        <v>540</v>
      </c>
      <c r="I11" s="28" t="s">
        <v>541</v>
      </c>
      <c r="J11" s="32"/>
    </row>
    <row r="12" spans="1:10" ht="32.25" customHeight="1" thickBot="1">
      <c r="A12" s="158"/>
      <c r="B12" s="62" t="s">
        <v>542</v>
      </c>
      <c r="C12" s="69">
        <v>3</v>
      </c>
      <c r="D12" s="53">
        <v>385</v>
      </c>
      <c r="E12" s="67"/>
      <c r="F12" s="80" t="s">
        <v>543</v>
      </c>
      <c r="G12" s="28" t="s">
        <v>26</v>
      </c>
      <c r="H12" s="30" t="s">
        <v>544</v>
      </c>
      <c r="I12" s="28" t="s">
        <v>545</v>
      </c>
      <c r="J12" s="32"/>
    </row>
    <row r="13" spans="1:10" ht="48" customHeight="1" thickBot="1">
      <c r="A13" s="158" t="s">
        <v>546</v>
      </c>
      <c r="B13" s="62" t="s">
        <v>547</v>
      </c>
      <c r="C13" s="68">
        <v>2</v>
      </c>
      <c r="D13" s="53">
        <v>338</v>
      </c>
      <c r="E13" s="27"/>
      <c r="F13" s="80" t="s">
        <v>548</v>
      </c>
      <c r="G13" s="28" t="s">
        <v>26</v>
      </c>
      <c r="H13" s="30" t="s">
        <v>549</v>
      </c>
      <c r="I13" s="28" t="s">
        <v>550</v>
      </c>
      <c r="J13" s="32"/>
    </row>
    <row r="14" spans="1:10" ht="48" thickBot="1">
      <c r="A14" s="158"/>
      <c r="B14" s="62" t="s">
        <v>551</v>
      </c>
      <c r="C14" s="68">
        <v>2</v>
      </c>
      <c r="D14" s="53">
        <v>338</v>
      </c>
      <c r="E14" s="27"/>
      <c r="F14" s="80" t="s">
        <v>552</v>
      </c>
      <c r="G14" s="28" t="s">
        <v>75</v>
      </c>
      <c r="H14" s="28"/>
      <c r="I14" s="28" t="s">
        <v>553</v>
      </c>
      <c r="J14" s="32"/>
    </row>
    <row r="15" spans="1:10" ht="32.25" thickBot="1">
      <c r="A15" s="158"/>
      <c r="B15" s="62" t="s">
        <v>554</v>
      </c>
      <c r="C15" s="69">
        <v>3</v>
      </c>
      <c r="D15" s="53">
        <v>338</v>
      </c>
      <c r="E15" s="27"/>
      <c r="F15" s="80" t="s">
        <v>555</v>
      </c>
      <c r="G15" s="28" t="s">
        <v>26</v>
      </c>
      <c r="H15" s="28" t="s">
        <v>52</v>
      </c>
      <c r="I15" s="28" t="s">
        <v>556</v>
      </c>
      <c r="J15" s="32"/>
    </row>
    <row r="16" spans="1:10" ht="48" customHeight="1" thickBot="1">
      <c r="A16" s="158" t="s">
        <v>557</v>
      </c>
      <c r="B16" s="62" t="s">
        <v>558</v>
      </c>
      <c r="C16" s="68">
        <v>2</v>
      </c>
      <c r="D16" s="53">
        <v>798</v>
      </c>
      <c r="E16" s="27"/>
      <c r="F16" s="80" t="s">
        <v>559</v>
      </c>
      <c r="G16" s="28" t="s">
        <v>26</v>
      </c>
      <c r="H16" s="124" t="s">
        <v>560</v>
      </c>
      <c r="I16" s="28" t="s">
        <v>561</v>
      </c>
      <c r="J16" s="32"/>
    </row>
    <row r="17" spans="1:10" ht="48" thickBot="1">
      <c r="A17" s="158"/>
      <c r="B17" s="62" t="s">
        <v>562</v>
      </c>
      <c r="C17" s="78">
        <v>2</v>
      </c>
      <c r="D17" s="57">
        <v>320</v>
      </c>
      <c r="E17" s="34"/>
      <c r="F17" s="81" t="s">
        <v>563</v>
      </c>
      <c r="G17" s="35" t="s">
        <v>112</v>
      </c>
      <c r="H17" s="35"/>
      <c r="I17" s="35"/>
      <c r="J17" s="37"/>
    </row>
  </sheetData>
  <mergeCells count="4">
    <mergeCell ref="A2:A4"/>
    <mergeCell ref="A5:A12"/>
    <mergeCell ref="A13:A15"/>
    <mergeCell ref="A16:A17"/>
  </mergeCells>
  <dataValidations count="1">
    <dataValidation type="list" operator="equal" showErrorMessage="1" sqref="G2:G17" xr:uid="{00000000-0002-0000-0600-000000000000}">
      <formula1>"Valid,Non-valid,Not Applicable"</formula1>
      <formula2>0</formula2>
    </dataValidation>
  </dataValidations>
  <hyperlinks>
    <hyperlink ref="H16" r:id="rId1" xr:uid="{41B824DD-5EEA-46D7-86EA-FD1FF40D1325}"/>
    <hyperlink ref="H9" r:id="rId2" xr:uid="{5E2FED62-6556-421D-8B57-F656A0819752}"/>
    <hyperlink ref="H8" r:id="rId3" display="https://github.com/IsepMartimOliveira/desofs2025_wed_ffs_4/blob/main/src/main/java/com/example/psoft_22_23_project/configuration/SecurityConfig.java @Bean_x000a__x0009_public JwtEncoder jwtEncoder() {_x000a__x0009__x0009_final JWK jwk = new RSAKey.Builder(this.rsaPublicKey).privateKey(this.rsaPrivateKey).build();_x000a__x0009__x0009_final JWKSource&lt;SecurityContext&gt; jwks = new ImmutableJWKSet&lt;&gt;(new JWKSet(jwk));_x000a__x0009__x0009_return new NimbusJwtEncoder(jwks);_x000a__x0009_}_x000a__x000a__x0009_// Used by JwtAuthenticationProvider to decode and validate JWT tokens_x000a__x0009_@Bean_x000a__x0009_public JwtDecoder jwtDecoder() {_x000a__x0009__x0009_return NimbusJwtDecoder.withPublicKey(this.rsaPublicKey).build();_x000a__x0009_}" xr:uid="{C5354010-139E-4B70-9005-EE42A5D3DA5F}"/>
    <hyperlink ref="H6" r:id="rId4" xr:uid="{5274CCD4-CBAB-4081-83B0-D57E3EAE1057}"/>
  </hyperlinks>
  <pageMargins left="0.78749999999999998" right="0.78749999999999998" top="1.0249999999999999" bottom="1.0249999999999999" header="0.78749999999999998" footer="0.78749999999999998"/>
  <pageSetup firstPageNumber="0" orientation="portrait" horizontalDpi="300" verticalDpi="300" r:id="rId5"/>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14"/>
  <sheetViews>
    <sheetView topLeftCell="A7" zoomScale="85" zoomScaleNormal="85" workbookViewId="0">
      <selection activeCell="H14" sqref="H14"/>
    </sheetView>
  </sheetViews>
  <sheetFormatPr defaultColWidth="8.7109375" defaultRowHeight="21"/>
  <cols>
    <col min="1" max="1" width="31.42578125" style="72" customWidth="1"/>
    <col min="2" max="2" width="6.7109375" style="25" customWidth="1"/>
    <col min="3" max="3" width="15.140625" style="59" customWidth="1"/>
    <col min="4" max="5" width="8.7109375" style="59"/>
    <col min="6" max="6" width="80.28515625" style="25" customWidth="1"/>
    <col min="7" max="7" width="16.7109375" style="25" customWidth="1"/>
    <col min="8" max="8" width="31" style="25" customWidth="1"/>
    <col min="9" max="9" width="24" style="25" customWidth="1"/>
    <col min="10" max="10" width="35.140625" style="25" customWidth="1"/>
    <col min="11" max="1024" width="8.7109375" style="25"/>
  </cols>
  <sheetData>
    <row r="1" spans="1:10" s="87" customFormat="1">
      <c r="A1" s="83" t="s">
        <v>20</v>
      </c>
      <c r="B1" s="84" t="s">
        <v>21</v>
      </c>
      <c r="C1" s="85" t="s">
        <v>22</v>
      </c>
      <c r="D1" s="85" t="s">
        <v>23</v>
      </c>
      <c r="E1" s="85" t="s">
        <v>24</v>
      </c>
      <c r="F1" s="86" t="s">
        <v>25</v>
      </c>
      <c r="G1" s="86" t="s">
        <v>26</v>
      </c>
      <c r="H1" s="86" t="s">
        <v>27</v>
      </c>
      <c r="I1" s="86" t="s">
        <v>28</v>
      </c>
      <c r="J1" s="86" t="s">
        <v>29</v>
      </c>
    </row>
    <row r="2" spans="1:10" ht="48" customHeight="1">
      <c r="A2" s="158" t="s">
        <v>564</v>
      </c>
      <c r="B2" s="62" t="s">
        <v>366</v>
      </c>
      <c r="C2" s="88">
        <v>1</v>
      </c>
      <c r="D2" s="89">
        <v>532</v>
      </c>
      <c r="E2" s="90"/>
      <c r="F2" s="91" t="s">
        <v>565</v>
      </c>
      <c r="G2" s="92" t="s">
        <v>26</v>
      </c>
      <c r="H2" s="129" t="s">
        <v>210</v>
      </c>
      <c r="I2" s="92" t="s">
        <v>566</v>
      </c>
      <c r="J2" s="93"/>
    </row>
    <row r="3" spans="1:10" ht="47.25">
      <c r="A3" s="158"/>
      <c r="B3" s="62" t="s">
        <v>379</v>
      </c>
      <c r="C3" s="66">
        <v>1</v>
      </c>
      <c r="D3" s="27">
        <v>532</v>
      </c>
      <c r="E3" s="67"/>
      <c r="F3" s="80" t="s">
        <v>567</v>
      </c>
      <c r="G3" s="28" t="s">
        <v>26</v>
      </c>
      <c r="H3" s="124" t="s">
        <v>210</v>
      </c>
      <c r="I3" s="28" t="s">
        <v>568</v>
      </c>
      <c r="J3" s="32"/>
    </row>
    <row r="4" spans="1:10" ht="63">
      <c r="A4" s="158"/>
      <c r="B4" s="62" t="s">
        <v>569</v>
      </c>
      <c r="C4" s="68">
        <v>2</v>
      </c>
      <c r="D4" s="27">
        <v>778</v>
      </c>
      <c r="E4" s="67"/>
      <c r="F4" s="80" t="s">
        <v>570</v>
      </c>
      <c r="G4" s="28" t="s">
        <v>26</v>
      </c>
      <c r="H4" s="124" t="s">
        <v>210</v>
      </c>
      <c r="I4" s="28" t="s">
        <v>571</v>
      </c>
      <c r="J4" s="32"/>
    </row>
    <row r="5" spans="1:10" ht="47.25">
      <c r="A5" s="158"/>
      <c r="B5" s="62" t="s">
        <v>572</v>
      </c>
      <c r="C5" s="68">
        <v>2</v>
      </c>
      <c r="D5" s="27">
        <v>778</v>
      </c>
      <c r="E5" s="67"/>
      <c r="F5" s="80" t="s">
        <v>573</v>
      </c>
      <c r="G5" s="28" t="s">
        <v>26</v>
      </c>
      <c r="H5" s="28" t="s">
        <v>574</v>
      </c>
      <c r="I5" s="28" t="s">
        <v>571</v>
      </c>
      <c r="J5" s="32"/>
    </row>
    <row r="6" spans="1:10" ht="48" customHeight="1">
      <c r="A6" s="158" t="s">
        <v>575</v>
      </c>
      <c r="B6" s="62" t="s">
        <v>390</v>
      </c>
      <c r="C6" s="68">
        <v>2</v>
      </c>
      <c r="D6" s="27">
        <v>778</v>
      </c>
      <c r="E6" s="67"/>
      <c r="F6" s="80" t="s">
        <v>576</v>
      </c>
      <c r="G6" s="28" t="s">
        <v>26</v>
      </c>
      <c r="H6" s="124" t="s">
        <v>210</v>
      </c>
      <c r="I6" s="28" t="s">
        <v>568</v>
      </c>
      <c r="J6" s="32"/>
    </row>
    <row r="7" spans="1:10" ht="47.25">
      <c r="A7" s="158"/>
      <c r="B7" s="62" t="s">
        <v>577</v>
      </c>
      <c r="C7" s="68">
        <v>2</v>
      </c>
      <c r="D7" s="27">
        <v>285</v>
      </c>
      <c r="E7" s="67"/>
      <c r="F7" s="80" t="s">
        <v>578</v>
      </c>
      <c r="G7" s="28" t="s">
        <v>26</v>
      </c>
      <c r="H7" s="124" t="s">
        <v>210</v>
      </c>
      <c r="I7" s="28" t="s">
        <v>579</v>
      </c>
      <c r="J7" s="32"/>
    </row>
    <row r="8" spans="1:10" ht="48" customHeight="1">
      <c r="A8" s="158" t="s">
        <v>580</v>
      </c>
      <c r="B8" s="62" t="s">
        <v>581</v>
      </c>
      <c r="C8" s="68">
        <v>2</v>
      </c>
      <c r="D8" s="27">
        <v>117</v>
      </c>
      <c r="E8" s="67"/>
      <c r="F8" s="80" t="s">
        <v>582</v>
      </c>
      <c r="G8" s="28" t="s">
        <v>26</v>
      </c>
      <c r="H8" s="28" t="s">
        <v>583</v>
      </c>
      <c r="I8" s="28" t="s">
        <v>584</v>
      </c>
      <c r="J8" s="32"/>
    </row>
    <row r="9" spans="1:10" ht="15.75">
      <c r="A9" s="158"/>
      <c r="B9" s="62" t="s">
        <v>585</v>
      </c>
      <c r="C9" s="68">
        <v>2</v>
      </c>
      <c r="D9" s="27">
        <v>117</v>
      </c>
      <c r="E9" s="67"/>
      <c r="F9" s="80" t="s">
        <v>586</v>
      </c>
      <c r="G9" s="28" t="s">
        <v>75</v>
      </c>
      <c r="H9" s="28"/>
      <c r="I9" s="28"/>
      <c r="J9" s="32"/>
    </row>
    <row r="10" spans="1:10" ht="31.5">
      <c r="A10" s="158"/>
      <c r="B10" s="62" t="s">
        <v>587</v>
      </c>
      <c r="C10" s="68">
        <v>2</v>
      </c>
      <c r="D10" s="27">
        <v>200</v>
      </c>
      <c r="E10" s="67"/>
      <c r="F10" s="80" t="s">
        <v>588</v>
      </c>
      <c r="G10" s="28" t="s">
        <v>75</v>
      </c>
      <c r="H10" s="28"/>
      <c r="I10" s="28"/>
      <c r="J10" s="32"/>
    </row>
    <row r="11" spans="1:10" ht="63">
      <c r="A11" s="158"/>
      <c r="B11" s="62" t="s">
        <v>589</v>
      </c>
      <c r="C11" s="68">
        <v>2</v>
      </c>
      <c r="D11" s="27"/>
      <c r="E11" s="67"/>
      <c r="F11" s="80" t="s">
        <v>590</v>
      </c>
      <c r="G11" s="28" t="s">
        <v>75</v>
      </c>
      <c r="H11" s="28"/>
      <c r="I11" s="28"/>
      <c r="J11" s="32"/>
    </row>
    <row r="12" spans="1:10" ht="63.75" customHeight="1">
      <c r="A12" s="158" t="s">
        <v>591</v>
      </c>
      <c r="B12" s="62" t="s">
        <v>592</v>
      </c>
      <c r="C12" s="66">
        <v>1</v>
      </c>
      <c r="D12" s="27">
        <v>210</v>
      </c>
      <c r="E12" s="67"/>
      <c r="F12" s="80" t="s">
        <v>593</v>
      </c>
      <c r="G12" s="28" t="s">
        <v>26</v>
      </c>
      <c r="H12" s="28" t="s">
        <v>583</v>
      </c>
      <c r="I12" s="28" t="s">
        <v>594</v>
      </c>
      <c r="J12" s="32"/>
    </row>
    <row r="13" spans="1:10" ht="47.25">
      <c r="A13" s="158"/>
      <c r="B13" s="62" t="s">
        <v>595</v>
      </c>
      <c r="C13" s="68">
        <v>2</v>
      </c>
      <c r="D13" s="27">
        <v>544</v>
      </c>
      <c r="E13" s="67"/>
      <c r="F13" s="80" t="s">
        <v>596</v>
      </c>
      <c r="G13" s="28" t="s">
        <v>26</v>
      </c>
      <c r="H13" s="28" t="s">
        <v>210</v>
      </c>
      <c r="I13" s="28" t="s">
        <v>597</v>
      </c>
      <c r="J13" s="32"/>
    </row>
    <row r="14" spans="1:10" ht="47.25">
      <c r="A14" s="158"/>
      <c r="B14" s="62" t="s">
        <v>598</v>
      </c>
      <c r="C14" s="78">
        <v>2</v>
      </c>
      <c r="D14" s="34">
        <v>431</v>
      </c>
      <c r="E14" s="71"/>
      <c r="F14" s="81" t="s">
        <v>599</v>
      </c>
      <c r="G14" s="35" t="s">
        <v>26</v>
      </c>
      <c r="H14" s="132" t="s">
        <v>583</v>
      </c>
      <c r="I14" s="35" t="s">
        <v>594</v>
      </c>
      <c r="J14" s="37"/>
    </row>
  </sheetData>
  <mergeCells count="4">
    <mergeCell ref="A2:A5"/>
    <mergeCell ref="A6:A7"/>
    <mergeCell ref="A8:A11"/>
    <mergeCell ref="A12:A14"/>
  </mergeCells>
  <dataValidations count="1">
    <dataValidation type="list" operator="equal" showErrorMessage="1" sqref="G2:G14" xr:uid="{00000000-0002-0000-0700-000000000000}">
      <formula1>"Valid,Non-valid,Not Applicable"</formula1>
      <formula2>0</formula2>
    </dataValidation>
  </dataValidations>
  <hyperlinks>
    <hyperlink ref="H2" r:id="rId1" xr:uid="{B60C74CF-B4B2-A848-A108-68AD5273100A}"/>
    <hyperlink ref="H4" r:id="rId2" xr:uid="{5CC104B8-6B56-364F-82F9-1E52E84FBDCF}"/>
    <hyperlink ref="H3" r:id="rId3" xr:uid="{F2CE7383-6DFD-024D-9822-0D8503216EA8}"/>
    <hyperlink ref="H6" r:id="rId4" xr:uid="{794B61A3-A25D-0F41-B1E4-E90A653CAC36}"/>
    <hyperlink ref="H7" r:id="rId5" xr:uid="{9388033A-5276-5241-B199-577B5DB78921}"/>
    <hyperlink ref="H14" r:id="rId6" xr:uid="{DF4F971C-F688-AD4D-BADC-72A59682438B}"/>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18"/>
  <sheetViews>
    <sheetView topLeftCell="A13" zoomScale="95" zoomScaleNormal="95" workbookViewId="0">
      <selection activeCell="G8" sqref="G8"/>
    </sheetView>
  </sheetViews>
  <sheetFormatPr defaultColWidth="8.7109375" defaultRowHeight="21"/>
  <cols>
    <col min="1" max="1" width="30.7109375" style="72" customWidth="1"/>
    <col min="2" max="2" width="8.7109375" style="25"/>
    <col min="3" max="5" width="8.7109375" style="59"/>
    <col min="6" max="6" width="93" style="25" customWidth="1"/>
    <col min="7" max="7" width="12.42578125" style="25" customWidth="1"/>
    <col min="8" max="8" width="35.7109375" style="25" customWidth="1"/>
    <col min="9" max="9" width="17.42578125" style="25" customWidth="1"/>
    <col min="10" max="10" width="30.7109375" style="25" customWidth="1"/>
    <col min="11" max="1024" width="8.7109375" style="25"/>
  </cols>
  <sheetData>
    <row r="1" spans="1:10" s="43" customFormat="1" ht="42.75" thickBot="1">
      <c r="A1" s="94" t="s">
        <v>20</v>
      </c>
      <c r="B1" s="61" t="s">
        <v>21</v>
      </c>
      <c r="C1" s="60" t="s">
        <v>22</v>
      </c>
      <c r="D1" s="60" t="s">
        <v>23</v>
      </c>
      <c r="E1" s="60" t="s">
        <v>24</v>
      </c>
      <c r="F1" s="61" t="s">
        <v>25</v>
      </c>
      <c r="G1" s="61" t="s">
        <v>26</v>
      </c>
      <c r="H1" s="61" t="s">
        <v>27</v>
      </c>
      <c r="I1" s="61" t="s">
        <v>28</v>
      </c>
      <c r="J1" s="61" t="s">
        <v>29</v>
      </c>
    </row>
    <row r="2" spans="1:10" ht="32.25" customHeight="1" thickBot="1">
      <c r="A2" s="159" t="s">
        <v>600</v>
      </c>
      <c r="B2" s="62" t="s">
        <v>601</v>
      </c>
      <c r="C2" s="82">
        <v>2</v>
      </c>
      <c r="D2" s="47">
        <v>524</v>
      </c>
      <c r="E2" s="64"/>
      <c r="F2" s="79" t="s">
        <v>602</v>
      </c>
      <c r="G2" s="49" t="s">
        <v>75</v>
      </c>
      <c r="H2" s="49"/>
      <c r="I2" s="49"/>
      <c r="J2" s="65"/>
    </row>
    <row r="3" spans="1:10" ht="48" thickBot="1">
      <c r="A3" s="160"/>
      <c r="B3" s="62" t="s">
        <v>603</v>
      </c>
      <c r="C3" s="68">
        <v>2</v>
      </c>
      <c r="D3" s="27">
        <v>524</v>
      </c>
      <c r="E3" s="67"/>
      <c r="F3" s="80" t="s">
        <v>604</v>
      </c>
      <c r="G3" s="28" t="s">
        <v>75</v>
      </c>
      <c r="H3" s="28"/>
      <c r="I3" s="28"/>
      <c r="J3" s="32"/>
    </row>
    <row r="4" spans="1:10" ht="32.25" thickBot="1">
      <c r="A4" s="160"/>
      <c r="B4" s="62" t="s">
        <v>605</v>
      </c>
      <c r="C4" s="68">
        <v>2</v>
      </c>
      <c r="D4" s="27">
        <v>233</v>
      </c>
      <c r="E4" s="67"/>
      <c r="F4" s="80" t="s">
        <v>606</v>
      </c>
      <c r="G4" s="28" t="s">
        <v>26</v>
      </c>
      <c r="H4" s="28" t="s">
        <v>607</v>
      </c>
      <c r="I4" s="141" t="s">
        <v>608</v>
      </c>
      <c r="J4" s="32"/>
    </row>
    <row r="5" spans="1:10" ht="32.25" thickBot="1">
      <c r="A5" s="160"/>
      <c r="B5" s="62" t="s">
        <v>609</v>
      </c>
      <c r="C5" s="68">
        <v>2</v>
      </c>
      <c r="D5" s="27">
        <v>770</v>
      </c>
      <c r="E5" s="67"/>
      <c r="F5" s="80" t="s">
        <v>610</v>
      </c>
      <c r="G5" s="28" t="s">
        <v>26</v>
      </c>
      <c r="H5" s="141" t="s">
        <v>242</v>
      </c>
      <c r="I5" s="141" t="s">
        <v>611</v>
      </c>
      <c r="J5" s="32"/>
    </row>
    <row r="6" spans="1:10" ht="17.100000000000001" customHeight="1" thickBot="1">
      <c r="A6" s="160"/>
      <c r="B6" s="62" t="s">
        <v>612</v>
      </c>
      <c r="C6" s="69">
        <v>3</v>
      </c>
      <c r="D6" s="27">
        <v>19</v>
      </c>
      <c r="E6" s="67"/>
      <c r="F6" s="80" t="s">
        <v>613</v>
      </c>
      <c r="G6" s="28" t="s">
        <v>75</v>
      </c>
      <c r="H6" s="28"/>
      <c r="I6" s="28"/>
      <c r="J6" s="32"/>
    </row>
    <row r="7" spans="1:10" ht="17.100000000000001" customHeight="1" thickBot="1">
      <c r="A7" s="161"/>
      <c r="B7" s="62" t="s">
        <v>614</v>
      </c>
      <c r="C7" s="69">
        <v>3</v>
      </c>
      <c r="D7" s="27">
        <v>19</v>
      </c>
      <c r="E7" s="67"/>
      <c r="F7" s="80" t="s">
        <v>615</v>
      </c>
      <c r="G7" s="28" t="s">
        <v>75</v>
      </c>
      <c r="H7" s="28"/>
      <c r="I7" s="28"/>
      <c r="J7" s="32"/>
    </row>
    <row r="8" spans="1:10" ht="32.25" customHeight="1" thickBot="1">
      <c r="A8" s="159" t="s">
        <v>616</v>
      </c>
      <c r="B8" s="62" t="s">
        <v>617</v>
      </c>
      <c r="C8" s="66">
        <v>1</v>
      </c>
      <c r="D8" s="27">
        <v>525</v>
      </c>
      <c r="E8" s="67"/>
      <c r="F8" s="80" t="s">
        <v>618</v>
      </c>
      <c r="G8" s="28" t="s">
        <v>75</v>
      </c>
      <c r="H8" s="28"/>
      <c r="I8" s="28"/>
      <c r="J8" s="32"/>
    </row>
    <row r="9" spans="1:10" ht="32.25" thickBot="1">
      <c r="A9" s="160"/>
      <c r="B9" s="62" t="s">
        <v>619</v>
      </c>
      <c r="C9" s="66">
        <v>1</v>
      </c>
      <c r="D9" s="27">
        <v>922</v>
      </c>
      <c r="E9" s="67"/>
      <c r="F9" s="80" t="s">
        <v>620</v>
      </c>
      <c r="G9" s="28" t="s">
        <v>75</v>
      </c>
      <c r="H9" s="28"/>
      <c r="I9" s="28"/>
      <c r="J9" s="32"/>
    </row>
    <row r="10" spans="1:10" ht="32.25" thickBot="1">
      <c r="A10" s="161"/>
      <c r="B10" s="62" t="s">
        <v>621</v>
      </c>
      <c r="C10" s="66">
        <v>1</v>
      </c>
      <c r="D10" s="27">
        <v>922</v>
      </c>
      <c r="E10" s="67"/>
      <c r="F10" s="80" t="s">
        <v>622</v>
      </c>
      <c r="G10" s="28" t="s">
        <v>75</v>
      </c>
      <c r="H10" s="28"/>
      <c r="I10" s="28"/>
      <c r="J10" s="32"/>
    </row>
    <row r="11" spans="1:10" ht="32.25" customHeight="1" thickBot="1">
      <c r="A11" s="159" t="s">
        <v>623</v>
      </c>
      <c r="B11" s="62" t="s">
        <v>624</v>
      </c>
      <c r="C11" s="66">
        <v>1</v>
      </c>
      <c r="D11" s="27">
        <v>319</v>
      </c>
      <c r="E11" s="67"/>
      <c r="F11" s="80" t="s">
        <v>625</v>
      </c>
      <c r="G11" s="28" t="s">
        <v>75</v>
      </c>
      <c r="H11" s="28"/>
      <c r="I11" s="28"/>
      <c r="J11" s="32"/>
    </row>
    <row r="12" spans="1:10" ht="17.100000000000001" customHeight="1" thickBot="1">
      <c r="A12" s="160"/>
      <c r="B12" s="62" t="s">
        <v>626</v>
      </c>
      <c r="C12" s="66">
        <v>1</v>
      </c>
      <c r="D12" s="27">
        <v>212</v>
      </c>
      <c r="E12" s="67"/>
      <c r="F12" s="80" t="s">
        <v>627</v>
      </c>
      <c r="G12" s="28" t="s">
        <v>26</v>
      </c>
      <c r="H12" s="124" t="s">
        <v>187</v>
      </c>
      <c r="I12" s="28" t="s">
        <v>628</v>
      </c>
      <c r="J12" s="32"/>
    </row>
    <row r="13" spans="1:10" ht="48" thickBot="1">
      <c r="A13" s="160"/>
      <c r="B13" s="62" t="s">
        <v>629</v>
      </c>
      <c r="C13" s="66">
        <v>1</v>
      </c>
      <c r="D13" s="27">
        <v>285</v>
      </c>
      <c r="E13" s="67"/>
      <c r="F13" s="80" t="s">
        <v>630</v>
      </c>
      <c r="G13" s="28" t="s">
        <v>75</v>
      </c>
      <c r="H13" s="28"/>
      <c r="I13" s="28"/>
      <c r="J13" s="32"/>
    </row>
    <row r="14" spans="1:10" ht="48" thickBot="1">
      <c r="A14" s="160"/>
      <c r="B14" s="62" t="s">
        <v>631</v>
      </c>
      <c r="C14" s="66">
        <v>1</v>
      </c>
      <c r="D14" s="27">
        <v>200</v>
      </c>
      <c r="E14" s="67"/>
      <c r="F14" s="80" t="s">
        <v>632</v>
      </c>
      <c r="G14" s="28" t="s">
        <v>26</v>
      </c>
      <c r="H14" s="140" t="s">
        <v>242</v>
      </c>
      <c r="I14" s="140" t="s">
        <v>242</v>
      </c>
      <c r="J14" s="32"/>
    </row>
    <row r="15" spans="1:10" ht="32.25" thickBot="1">
      <c r="A15" s="160"/>
      <c r="B15" s="62" t="s">
        <v>633</v>
      </c>
      <c r="C15" s="68">
        <v>2</v>
      </c>
      <c r="D15" s="27">
        <v>532</v>
      </c>
      <c r="E15" s="67"/>
      <c r="F15" s="80" t="s">
        <v>634</v>
      </c>
      <c r="G15" s="28" t="s">
        <v>26</v>
      </c>
      <c r="H15" s="141" t="s">
        <v>242</v>
      </c>
      <c r="I15" s="141" t="s">
        <v>242</v>
      </c>
      <c r="J15" s="32"/>
    </row>
    <row r="16" spans="1:10" ht="32.25" thickBot="1">
      <c r="A16" s="160"/>
      <c r="B16" s="62" t="s">
        <v>635</v>
      </c>
      <c r="C16" s="68">
        <v>2</v>
      </c>
      <c r="D16" s="27">
        <v>226</v>
      </c>
      <c r="E16" s="27"/>
      <c r="F16" s="80" t="s">
        <v>636</v>
      </c>
      <c r="G16" s="28" t="s">
        <v>26</v>
      </c>
      <c r="H16" s="141" t="s">
        <v>210</v>
      </c>
      <c r="I16" s="141" t="s">
        <v>210</v>
      </c>
      <c r="J16" s="32"/>
    </row>
    <row r="17" spans="1:10" ht="48" thickBot="1">
      <c r="A17" s="160"/>
      <c r="B17" s="62" t="s">
        <v>637</v>
      </c>
      <c r="C17" s="68">
        <v>2</v>
      </c>
      <c r="D17" s="27">
        <v>327</v>
      </c>
      <c r="E17" s="27"/>
      <c r="F17" s="80" t="s">
        <v>638</v>
      </c>
      <c r="G17" s="28" t="s">
        <v>26</v>
      </c>
      <c r="H17" s="141" t="s">
        <v>639</v>
      </c>
      <c r="I17" s="141" t="s">
        <v>639</v>
      </c>
      <c r="J17" s="32"/>
    </row>
    <row r="18" spans="1:10" ht="32.25" thickBot="1">
      <c r="A18" s="161"/>
      <c r="B18" s="62" t="s">
        <v>640</v>
      </c>
      <c r="C18" s="78">
        <v>2</v>
      </c>
      <c r="D18" s="34">
        <v>285</v>
      </c>
      <c r="E18" s="34"/>
      <c r="F18" s="81" t="s">
        <v>641</v>
      </c>
      <c r="G18" s="35" t="s">
        <v>26</v>
      </c>
      <c r="H18" s="141" t="s">
        <v>242</v>
      </c>
      <c r="I18" s="141" t="s">
        <v>242</v>
      </c>
      <c r="J18" s="37"/>
    </row>
  </sheetData>
  <mergeCells count="3">
    <mergeCell ref="A2:A7"/>
    <mergeCell ref="A8:A10"/>
    <mergeCell ref="A11:A18"/>
  </mergeCells>
  <dataValidations count="1">
    <dataValidation type="list" operator="equal" showErrorMessage="1" sqref="G2:G18" xr:uid="{00000000-0002-0000-0800-000000000000}">
      <formula1>"Valid,Non-valid,Not Applicable"</formula1>
      <formula2>0</formula2>
    </dataValidation>
  </dataValidations>
  <hyperlinks>
    <hyperlink ref="H12" r:id="rId1" xr:uid="{089031D8-83FD-404E-AA52-6458CA612D6A}"/>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9"/>
  <sheetViews>
    <sheetView zoomScale="95" zoomScaleNormal="95" workbookViewId="0">
      <selection activeCell="I6" sqref="I6"/>
    </sheetView>
  </sheetViews>
  <sheetFormatPr defaultColWidth="8.7109375" defaultRowHeight="21"/>
  <cols>
    <col min="1" max="1" width="37.28515625" style="72" customWidth="1"/>
    <col min="2" max="2" width="8.7109375" style="25"/>
    <col min="3" max="5" width="8.7109375" style="59"/>
    <col min="6" max="6" width="88.7109375" style="25" customWidth="1"/>
    <col min="7" max="7" width="8.7109375" style="25"/>
    <col min="8" max="8" width="28.28515625" style="25" customWidth="1"/>
    <col min="9" max="9" width="26.28515625" style="25" customWidth="1"/>
    <col min="10" max="10" width="37.7109375" style="25" customWidth="1"/>
    <col min="11" max="1024" width="8.7109375" style="25"/>
  </cols>
  <sheetData>
    <row r="1" spans="1:10" s="43" customFormat="1" ht="42">
      <c r="A1" s="94" t="s">
        <v>20</v>
      </c>
      <c r="B1" s="61" t="s">
        <v>21</v>
      </c>
      <c r="C1" s="60" t="s">
        <v>22</v>
      </c>
      <c r="D1" s="60" t="s">
        <v>23</v>
      </c>
      <c r="E1" s="60" t="s">
        <v>24</v>
      </c>
      <c r="F1" s="61" t="s">
        <v>25</v>
      </c>
      <c r="G1" s="61" t="s">
        <v>26</v>
      </c>
      <c r="H1" s="61" t="s">
        <v>27</v>
      </c>
      <c r="I1" s="61" t="s">
        <v>28</v>
      </c>
      <c r="J1" s="61" t="s">
        <v>29</v>
      </c>
    </row>
    <row r="2" spans="1:10" ht="48" customHeight="1" thickBot="1">
      <c r="A2" s="158" t="s">
        <v>642</v>
      </c>
      <c r="B2" s="62" t="s">
        <v>643</v>
      </c>
      <c r="C2" s="63">
        <v>1</v>
      </c>
      <c r="D2" s="47">
        <v>319</v>
      </c>
      <c r="E2" s="64"/>
      <c r="F2" s="79" t="s">
        <v>644</v>
      </c>
      <c r="G2" s="49" t="s">
        <v>26</v>
      </c>
      <c r="H2" s="130" t="s">
        <v>645</v>
      </c>
      <c r="I2" s="49" t="s">
        <v>646</v>
      </c>
      <c r="J2" s="65"/>
    </row>
    <row r="3" spans="1:10" ht="32.25" thickBot="1">
      <c r="A3" s="158"/>
      <c r="B3" s="62" t="s">
        <v>647</v>
      </c>
      <c r="C3" s="66">
        <v>1</v>
      </c>
      <c r="D3" s="27">
        <v>326</v>
      </c>
      <c r="E3" s="67"/>
      <c r="F3" s="80" t="s">
        <v>648</v>
      </c>
      <c r="G3" s="28" t="s">
        <v>26</v>
      </c>
      <c r="H3" s="124" t="s">
        <v>645</v>
      </c>
      <c r="I3" s="131" t="s">
        <v>649</v>
      </c>
      <c r="J3" s="32"/>
    </row>
    <row r="4" spans="1:10" ht="32.25" thickBot="1">
      <c r="A4" s="158"/>
      <c r="B4" s="62" t="s">
        <v>650</v>
      </c>
      <c r="C4" s="66">
        <v>1</v>
      </c>
      <c r="D4" s="27">
        <v>326</v>
      </c>
      <c r="E4" s="67"/>
      <c r="F4" s="80" t="s">
        <v>651</v>
      </c>
      <c r="G4" s="28" t="s">
        <v>26</v>
      </c>
      <c r="H4" s="124" t="s">
        <v>645</v>
      </c>
      <c r="I4" s="28" t="s">
        <v>652</v>
      </c>
      <c r="J4" s="32"/>
    </row>
    <row r="5" spans="1:10" ht="63.75" customHeight="1" thickBot="1">
      <c r="A5" s="158" t="s">
        <v>653</v>
      </c>
      <c r="B5" s="62" t="s">
        <v>654</v>
      </c>
      <c r="C5" s="68">
        <v>2</v>
      </c>
      <c r="D5" s="27">
        <v>295</v>
      </c>
      <c r="E5" s="67"/>
      <c r="F5" s="80" t="s">
        <v>655</v>
      </c>
      <c r="G5" s="28" t="s">
        <v>26</v>
      </c>
      <c r="H5" s="124" t="s">
        <v>645</v>
      </c>
      <c r="I5" s="28" t="s">
        <v>656</v>
      </c>
      <c r="J5" s="32"/>
    </row>
    <row r="6" spans="1:10" ht="63.75" thickBot="1">
      <c r="A6" s="158"/>
      <c r="B6" s="62" t="s">
        <v>657</v>
      </c>
      <c r="C6" s="68">
        <v>2</v>
      </c>
      <c r="D6" s="27">
        <v>319</v>
      </c>
      <c r="E6" s="67"/>
      <c r="F6" s="80" t="s">
        <v>658</v>
      </c>
      <c r="G6" s="28" t="s">
        <v>26</v>
      </c>
      <c r="H6" s="124" t="s">
        <v>645</v>
      </c>
      <c r="I6" s="28" t="s">
        <v>656</v>
      </c>
      <c r="J6" s="32"/>
    </row>
    <row r="7" spans="1:10" ht="32.25" thickBot="1">
      <c r="A7" s="158"/>
      <c r="B7" s="62" t="s">
        <v>659</v>
      </c>
      <c r="C7" s="68">
        <v>2</v>
      </c>
      <c r="D7" s="27">
        <v>287</v>
      </c>
      <c r="E7" s="67"/>
      <c r="F7" s="80" t="s">
        <v>660</v>
      </c>
      <c r="G7" s="28" t="s">
        <v>75</v>
      </c>
      <c r="H7" s="28"/>
      <c r="I7" s="28"/>
      <c r="J7" s="32"/>
    </row>
    <row r="8" spans="1:10" ht="32.25" thickBot="1">
      <c r="A8" s="158"/>
      <c r="B8" s="62" t="s">
        <v>661</v>
      </c>
      <c r="C8" s="68">
        <v>2</v>
      </c>
      <c r="D8" s="27">
        <v>299</v>
      </c>
      <c r="E8" s="67"/>
      <c r="F8" s="80" t="s">
        <v>662</v>
      </c>
      <c r="G8" s="28" t="s">
        <v>75</v>
      </c>
      <c r="H8" s="28"/>
      <c r="I8" s="28"/>
      <c r="J8" s="32"/>
    </row>
    <row r="9" spans="1:10" ht="16.5" thickBot="1">
      <c r="A9" s="158"/>
      <c r="B9" s="62" t="s">
        <v>663</v>
      </c>
      <c r="C9" s="95">
        <v>3</v>
      </c>
      <c r="D9" s="34">
        <v>544</v>
      </c>
      <c r="E9" s="71"/>
      <c r="F9" s="81" t="s">
        <v>664</v>
      </c>
      <c r="G9" s="35" t="s">
        <v>26</v>
      </c>
      <c r="H9" s="35" t="s">
        <v>645</v>
      </c>
      <c r="I9" s="35" t="s">
        <v>665</v>
      </c>
      <c r="J9" s="37"/>
    </row>
  </sheetData>
  <mergeCells count="2">
    <mergeCell ref="A2:A4"/>
    <mergeCell ref="A5:A9"/>
  </mergeCells>
  <dataValidations count="1">
    <dataValidation type="list" operator="equal" showErrorMessage="1" sqref="G2:G9" xr:uid="{00000000-0002-0000-0900-000000000000}">
      <formula1>"Valid,Non-valid,Not Applicable"</formula1>
      <formula2>0</formula2>
    </dataValidation>
  </dataValidations>
  <hyperlinks>
    <hyperlink ref="H2" r:id="rId1" xr:uid="{31779F7C-83B0-F040-A06C-4ACA257D376A}"/>
    <hyperlink ref="H3" r:id="rId2" xr:uid="{35F08A9E-7229-F543-8723-E1F3CC2A2E73}"/>
    <hyperlink ref="H4" r:id="rId3" xr:uid="{7F022696-1133-B043-A3BC-6CC1B1F0D7A2}"/>
    <hyperlink ref="H5" r:id="rId4" xr:uid="{CBDEE252-BC6F-0646-B6A0-04D79F9461A7}"/>
    <hyperlink ref="H6" r:id="rId5" xr:uid="{C954504E-8CA6-9241-9FCE-972F83F745CF}"/>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1"/>
  <sheetViews>
    <sheetView topLeftCell="A3" zoomScale="95" zoomScaleNormal="95" workbookViewId="0">
      <selection activeCell="I10" sqref="I10"/>
    </sheetView>
  </sheetViews>
  <sheetFormatPr defaultColWidth="8.7109375" defaultRowHeight="21"/>
  <cols>
    <col min="1" max="1" width="31.42578125" style="72" customWidth="1"/>
    <col min="2" max="2" width="8.7109375" style="25"/>
    <col min="3" max="5" width="8.7109375" style="59"/>
    <col min="6" max="6" width="88.42578125" style="25" customWidth="1"/>
    <col min="7" max="7" width="14.42578125" style="25" bestFit="1" customWidth="1"/>
    <col min="8" max="8" width="35.7109375" style="25" customWidth="1"/>
    <col min="9" max="9" width="26.140625" style="25" customWidth="1"/>
    <col min="10" max="10" width="28.7109375" style="25" customWidth="1"/>
    <col min="11" max="1024" width="8.7109375" style="25"/>
  </cols>
  <sheetData>
    <row r="1" spans="1:10" s="43" customFormat="1" ht="42">
      <c r="A1" s="96" t="s">
        <v>20</v>
      </c>
      <c r="B1" s="61" t="s">
        <v>21</v>
      </c>
      <c r="C1" s="60" t="s">
        <v>22</v>
      </c>
      <c r="D1" s="60" t="s">
        <v>23</v>
      </c>
      <c r="E1" s="60" t="s">
        <v>24</v>
      </c>
      <c r="F1" s="61" t="s">
        <v>25</v>
      </c>
      <c r="G1" s="61" t="s">
        <v>26</v>
      </c>
      <c r="H1" s="61" t="s">
        <v>27</v>
      </c>
      <c r="I1" s="61" t="s">
        <v>28</v>
      </c>
      <c r="J1" s="61" t="s">
        <v>29</v>
      </c>
    </row>
    <row r="2" spans="1:10" ht="31.5">
      <c r="A2" s="2" t="s">
        <v>666</v>
      </c>
      <c r="B2" s="62" t="s">
        <v>667</v>
      </c>
      <c r="C2" s="97">
        <v>3</v>
      </c>
      <c r="D2" s="47">
        <v>749</v>
      </c>
      <c r="E2" s="64"/>
      <c r="F2" s="79" t="s">
        <v>668</v>
      </c>
      <c r="G2" s="49" t="s">
        <v>26</v>
      </c>
      <c r="H2" s="49" t="s">
        <v>669</v>
      </c>
      <c r="I2" s="49" t="s">
        <v>670</v>
      </c>
      <c r="J2" s="65"/>
    </row>
    <row r="3" spans="1:10" ht="48" customHeight="1">
      <c r="A3" s="158" t="s">
        <v>671</v>
      </c>
      <c r="B3" s="62" t="s">
        <v>672</v>
      </c>
      <c r="C3" s="68">
        <v>2</v>
      </c>
      <c r="D3" s="27">
        <v>359</v>
      </c>
      <c r="E3" s="67"/>
      <c r="F3" s="80" t="s">
        <v>673</v>
      </c>
      <c r="G3" s="28" t="s">
        <v>26</v>
      </c>
      <c r="H3" s="124" t="s">
        <v>674</v>
      </c>
      <c r="I3" s="28" t="s">
        <v>675</v>
      </c>
      <c r="J3" s="32"/>
    </row>
    <row r="4" spans="1:10" ht="31.5">
      <c r="A4" s="158"/>
      <c r="B4" s="62" t="s">
        <v>676</v>
      </c>
      <c r="C4" s="68">
        <v>2</v>
      </c>
      <c r="D4" s="27">
        <v>272</v>
      </c>
      <c r="E4" s="67"/>
      <c r="F4" s="80" t="s">
        <v>677</v>
      </c>
      <c r="G4" s="28" t="s">
        <v>75</v>
      </c>
      <c r="H4" s="28"/>
      <c r="I4" s="28"/>
      <c r="J4" s="32"/>
    </row>
    <row r="5" spans="1:10" ht="78.75">
      <c r="A5" s="158"/>
      <c r="B5" s="62" t="s">
        <v>678</v>
      </c>
      <c r="C5" s="69">
        <v>3</v>
      </c>
      <c r="D5" s="27">
        <v>507</v>
      </c>
      <c r="E5" s="67"/>
      <c r="F5" s="80" t="s">
        <v>679</v>
      </c>
      <c r="G5" s="28" t="s">
        <v>75</v>
      </c>
      <c r="H5" s="28"/>
      <c r="I5" s="28"/>
      <c r="J5" s="32"/>
    </row>
    <row r="6" spans="1:10" ht="31.5">
      <c r="A6" s="158"/>
      <c r="B6" s="62" t="s">
        <v>680</v>
      </c>
      <c r="C6" s="69">
        <v>3</v>
      </c>
      <c r="D6" s="27">
        <v>511</v>
      </c>
      <c r="E6" s="67"/>
      <c r="F6" s="80" t="s">
        <v>681</v>
      </c>
      <c r="G6" s="28" t="s">
        <v>75</v>
      </c>
      <c r="H6" s="28"/>
      <c r="I6" s="28"/>
      <c r="J6" s="32"/>
    </row>
    <row r="7" spans="1:10" ht="31.5">
      <c r="A7" s="158"/>
      <c r="B7" s="62" t="s">
        <v>682</v>
      </c>
      <c r="C7" s="69">
        <v>3</v>
      </c>
      <c r="D7" s="27">
        <v>511</v>
      </c>
      <c r="E7" s="67"/>
      <c r="F7" s="80" t="s">
        <v>683</v>
      </c>
      <c r="G7" s="28" t="s">
        <v>75</v>
      </c>
      <c r="H7" s="28"/>
      <c r="I7" s="28"/>
      <c r="J7" s="32"/>
    </row>
    <row r="8" spans="1:10" ht="31.5">
      <c r="A8" s="158"/>
      <c r="B8" s="62" t="s">
        <v>684</v>
      </c>
      <c r="C8" s="69">
        <v>3</v>
      </c>
      <c r="D8" s="27">
        <v>507</v>
      </c>
      <c r="E8" s="67"/>
      <c r="F8" s="80" t="s">
        <v>685</v>
      </c>
      <c r="G8" s="28" t="s">
        <v>75</v>
      </c>
      <c r="H8" s="28"/>
      <c r="I8" s="28"/>
      <c r="J8" s="32"/>
    </row>
    <row r="9" spans="1:10" ht="48" customHeight="1">
      <c r="A9" s="158" t="s">
        <v>686</v>
      </c>
      <c r="B9" s="62" t="s">
        <v>687</v>
      </c>
      <c r="C9" s="66">
        <v>1</v>
      </c>
      <c r="D9" s="27">
        <v>16</v>
      </c>
      <c r="E9" s="67"/>
      <c r="F9" s="80" t="s">
        <v>688</v>
      </c>
      <c r="G9" s="28" t="s">
        <v>75</v>
      </c>
      <c r="H9" s="28"/>
      <c r="I9" s="28"/>
      <c r="J9" s="32"/>
    </row>
    <row r="10" spans="1:10" ht="63">
      <c r="A10" s="158"/>
      <c r="B10" s="62" t="s">
        <v>689</v>
      </c>
      <c r="C10" s="66">
        <v>1</v>
      </c>
      <c r="D10" s="27">
        <v>353</v>
      </c>
      <c r="E10" s="67"/>
      <c r="F10" s="80" t="s">
        <v>690</v>
      </c>
      <c r="G10" s="28" t="s">
        <v>26</v>
      </c>
      <c r="H10" s="142" t="s">
        <v>52</v>
      </c>
      <c r="I10" s="141" t="s">
        <v>691</v>
      </c>
      <c r="J10" s="32"/>
    </row>
    <row r="11" spans="1:10" ht="94.5">
      <c r="A11" s="158"/>
      <c r="B11" s="62" t="s">
        <v>692</v>
      </c>
      <c r="C11" s="70">
        <v>1</v>
      </c>
      <c r="D11" s="34">
        <v>350</v>
      </c>
      <c r="E11" s="34"/>
      <c r="F11" s="81" t="s">
        <v>693</v>
      </c>
      <c r="G11" s="35" t="s">
        <v>26</v>
      </c>
      <c r="H11" s="134" t="s">
        <v>694</v>
      </c>
      <c r="I11" s="149" t="s">
        <v>695</v>
      </c>
      <c r="J11" s="37"/>
    </row>
  </sheetData>
  <mergeCells count="2">
    <mergeCell ref="A3:A8"/>
    <mergeCell ref="A9:A11"/>
  </mergeCells>
  <dataValidations count="1">
    <dataValidation type="list" operator="equal" showErrorMessage="1" sqref="G2:G11" xr:uid="{00000000-0002-0000-0A00-000000000000}">
      <formula1>"Valid,Non-valid,Not Applicable"</formula1>
      <formula2>0</formula2>
    </dataValidation>
  </dataValidations>
  <hyperlinks>
    <hyperlink ref="H3" r:id="rId1" xr:uid="{BDFA2E1B-4EDD-484A-8C04-E843B075996E}"/>
    <hyperlink ref="H11" r:id="rId2" xr:uid="{91D1B765-73A8-4DA3-B6D4-D947A9BDD6BF}"/>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9"/>
  <sheetViews>
    <sheetView topLeftCell="A3" zoomScale="95" zoomScaleNormal="95" workbookViewId="0">
      <selection activeCell="K4" sqref="K4"/>
    </sheetView>
  </sheetViews>
  <sheetFormatPr defaultColWidth="8.7109375" defaultRowHeight="21"/>
  <cols>
    <col min="1" max="1" width="23.7109375" style="72" customWidth="1"/>
    <col min="2" max="2" width="8.7109375" style="25"/>
    <col min="3" max="5" width="8.7109375" style="59"/>
    <col min="6" max="6" width="71.28515625" style="25" customWidth="1"/>
    <col min="7" max="7" width="17.42578125" style="25" customWidth="1"/>
    <col min="8" max="8" width="34.7109375" style="25" customWidth="1"/>
    <col min="9" max="9" width="34.42578125" style="25" customWidth="1"/>
    <col min="10" max="10" width="37" style="25" customWidth="1"/>
    <col min="11" max="1024" width="8.7109375" style="25"/>
  </cols>
  <sheetData>
    <row r="1" spans="1:10" s="43" customFormat="1" ht="42">
      <c r="A1" s="94" t="s">
        <v>20</v>
      </c>
      <c r="B1" s="61" t="s">
        <v>21</v>
      </c>
      <c r="C1" s="60" t="s">
        <v>22</v>
      </c>
      <c r="D1" s="60" t="s">
        <v>23</v>
      </c>
      <c r="E1" s="60" t="s">
        <v>24</v>
      </c>
      <c r="F1" s="61" t="s">
        <v>25</v>
      </c>
      <c r="G1" s="61" t="s">
        <v>26</v>
      </c>
      <c r="H1" s="61" t="s">
        <v>27</v>
      </c>
      <c r="I1" s="61" t="s">
        <v>28</v>
      </c>
      <c r="J1" s="61" t="s">
        <v>29</v>
      </c>
    </row>
    <row r="2" spans="1:10" ht="32.25" customHeight="1">
      <c r="A2" s="158" t="s">
        <v>696</v>
      </c>
      <c r="B2" s="62" t="s">
        <v>697</v>
      </c>
      <c r="C2" s="63">
        <v>1</v>
      </c>
      <c r="D2" s="47">
        <v>841</v>
      </c>
      <c r="E2" s="64"/>
      <c r="F2" s="79" t="s">
        <v>698</v>
      </c>
      <c r="G2" s="49" t="s">
        <v>26</v>
      </c>
      <c r="H2" s="146" t="s">
        <v>89</v>
      </c>
      <c r="I2" s="143" t="s">
        <v>699</v>
      </c>
      <c r="J2" s="65"/>
    </row>
    <row r="3" spans="1:10" ht="142.5" customHeight="1">
      <c r="A3" s="158"/>
      <c r="B3" s="62" t="s">
        <v>700</v>
      </c>
      <c r="C3" s="66">
        <v>1</v>
      </c>
      <c r="D3" s="27">
        <v>799</v>
      </c>
      <c r="E3" s="67"/>
      <c r="F3" s="80" t="s">
        <v>701</v>
      </c>
      <c r="G3" s="28" t="s">
        <v>26</v>
      </c>
      <c r="H3" s="124" t="s">
        <v>702</v>
      </c>
      <c r="I3" s="138" t="s">
        <v>703</v>
      </c>
      <c r="J3" s="32"/>
    </row>
    <row r="4" spans="1:10" ht="31.5">
      <c r="A4" s="158"/>
      <c r="B4" s="62" t="s">
        <v>704</v>
      </c>
      <c r="C4" s="66">
        <v>1</v>
      </c>
      <c r="D4" s="27">
        <v>770</v>
      </c>
      <c r="E4" s="67"/>
      <c r="F4" s="80" t="s">
        <v>705</v>
      </c>
      <c r="G4" s="28" t="s">
        <v>26</v>
      </c>
      <c r="H4" s="124" t="s">
        <v>702</v>
      </c>
      <c r="I4" s="28" t="s">
        <v>706</v>
      </c>
      <c r="J4" s="32"/>
    </row>
    <row r="5" spans="1:10" ht="47.25">
      <c r="A5" s="158"/>
      <c r="B5" s="62" t="s">
        <v>707</v>
      </c>
      <c r="C5" s="66">
        <v>1</v>
      </c>
      <c r="D5" s="27">
        <v>770</v>
      </c>
      <c r="E5" s="27"/>
      <c r="F5" s="80" t="s">
        <v>708</v>
      </c>
      <c r="G5" s="28" t="s">
        <v>26</v>
      </c>
      <c r="H5" s="124" t="s">
        <v>702</v>
      </c>
      <c r="I5" s="28" t="s">
        <v>706</v>
      </c>
      <c r="J5" s="32"/>
    </row>
    <row r="6" spans="1:10" ht="44.25" customHeight="1">
      <c r="A6" s="158"/>
      <c r="B6" s="62" t="s">
        <v>709</v>
      </c>
      <c r="C6" s="66">
        <v>1</v>
      </c>
      <c r="D6" s="27">
        <v>841</v>
      </c>
      <c r="E6" s="27"/>
      <c r="F6" s="80" t="s">
        <v>710</v>
      </c>
      <c r="G6" s="28" t="s">
        <v>26</v>
      </c>
      <c r="H6" s="124" t="s">
        <v>702</v>
      </c>
      <c r="I6" s="28" t="s">
        <v>706</v>
      </c>
      <c r="J6" s="32"/>
    </row>
    <row r="7" spans="1:10" ht="121.5" customHeight="1">
      <c r="A7" s="158"/>
      <c r="B7" s="62" t="s">
        <v>711</v>
      </c>
      <c r="C7" s="68">
        <v>2</v>
      </c>
      <c r="D7" s="27">
        <v>367</v>
      </c>
      <c r="E7" s="27"/>
      <c r="F7" s="80" t="s">
        <v>712</v>
      </c>
      <c r="G7" s="28" t="s">
        <v>26</v>
      </c>
      <c r="H7" s="124" t="s">
        <v>713</v>
      </c>
      <c r="I7" s="137" t="s">
        <v>714</v>
      </c>
      <c r="J7" s="32"/>
    </row>
    <row r="8" spans="1:10" ht="66.75" customHeight="1">
      <c r="A8" s="158"/>
      <c r="B8" s="62" t="s">
        <v>715</v>
      </c>
      <c r="C8" s="68">
        <v>2</v>
      </c>
      <c r="D8" s="27">
        <v>754</v>
      </c>
      <c r="E8" s="27"/>
      <c r="F8" s="80" t="s">
        <v>716</v>
      </c>
      <c r="G8" s="28" t="s">
        <v>75</v>
      </c>
      <c r="H8" s="28"/>
      <c r="I8" s="136"/>
      <c r="J8" s="32"/>
    </row>
    <row r="9" spans="1:10" ht="31.5">
      <c r="A9" s="158"/>
      <c r="B9" s="62" t="s">
        <v>717</v>
      </c>
      <c r="C9" s="78">
        <v>2</v>
      </c>
      <c r="D9" s="34">
        <v>390</v>
      </c>
      <c r="E9" s="34"/>
      <c r="F9" s="81" t="s">
        <v>718</v>
      </c>
      <c r="G9" s="35" t="s">
        <v>75</v>
      </c>
      <c r="H9" s="35"/>
      <c r="I9"/>
      <c r="J9" s="37"/>
    </row>
  </sheetData>
  <mergeCells count="1">
    <mergeCell ref="A2:A9"/>
  </mergeCells>
  <dataValidations count="1">
    <dataValidation type="list" operator="equal" showErrorMessage="1" sqref="G2:G9" xr:uid="{00000000-0002-0000-0B00-000000000000}">
      <formula1>"Valid,Non-valid,Not Applicable"</formula1>
      <formula2>0</formula2>
    </dataValidation>
  </dataValidations>
  <hyperlinks>
    <hyperlink ref="H7" r:id="rId1" location="L111" xr:uid="{C23DEC74-12A9-4F39-969E-88CD11530251}"/>
    <hyperlink ref="H3" r:id="rId2" location="L63" xr:uid="{0CA5B43F-3F34-4663-B011-177A6D217B58}"/>
    <hyperlink ref="H4" r:id="rId3" location="L63" xr:uid="{21E511A0-1D45-46A1-BB3D-614E95AE35D6}"/>
    <hyperlink ref="H5" r:id="rId4" location="L63" xr:uid="{9B8A3AE2-1639-46ED-B151-9E3EBDD20E1B}"/>
    <hyperlink ref="H6" r:id="rId5" location="L63" xr:uid="{5B96CEE7-9B9D-43CB-8623-E2BE4B7F85A6}"/>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16"/>
  <sheetViews>
    <sheetView topLeftCell="A10" zoomScale="95" zoomScaleNormal="95" workbookViewId="0">
      <selection activeCell="I2" sqref="I2"/>
    </sheetView>
  </sheetViews>
  <sheetFormatPr defaultColWidth="8.7109375" defaultRowHeight="21"/>
  <cols>
    <col min="1" max="1" width="33.42578125" style="72" customWidth="1"/>
    <col min="2" max="2" width="13.28515625" style="25" customWidth="1"/>
    <col min="3" max="5" width="8.7109375" style="59"/>
    <col min="6" max="6" width="78.7109375" style="25" customWidth="1"/>
    <col min="7" max="7" width="18.7109375" style="25" customWidth="1"/>
    <col min="8" max="8" width="31.42578125" style="25" customWidth="1"/>
    <col min="9" max="9" width="26.7109375" style="25" customWidth="1"/>
    <col min="10" max="10" width="31.7109375" style="25" customWidth="1"/>
    <col min="11" max="1024" width="8.7109375" style="25"/>
  </cols>
  <sheetData>
    <row r="1" spans="1:10" s="43" customFormat="1" ht="42.75" thickBot="1">
      <c r="A1" s="94" t="s">
        <v>20</v>
      </c>
      <c r="B1" s="61" t="s">
        <v>21</v>
      </c>
      <c r="C1" s="60" t="s">
        <v>22</v>
      </c>
      <c r="D1" s="60" t="s">
        <v>23</v>
      </c>
      <c r="E1" s="60" t="s">
        <v>24</v>
      </c>
      <c r="F1" s="61" t="s">
        <v>25</v>
      </c>
      <c r="G1" s="61" t="s">
        <v>26</v>
      </c>
      <c r="H1" s="61" t="s">
        <v>27</v>
      </c>
      <c r="I1" s="61" t="s">
        <v>28</v>
      </c>
      <c r="J1" s="61" t="s">
        <v>29</v>
      </c>
    </row>
    <row r="2" spans="1:10" ht="32.25" customHeight="1" thickBot="1">
      <c r="A2" s="158" t="s">
        <v>719</v>
      </c>
      <c r="B2" s="62" t="s">
        <v>720</v>
      </c>
      <c r="C2" s="63">
        <v>1</v>
      </c>
      <c r="D2" s="47">
        <v>400</v>
      </c>
      <c r="E2" s="64"/>
      <c r="F2" s="79" t="s">
        <v>721</v>
      </c>
      <c r="G2" s="49" t="s">
        <v>26</v>
      </c>
      <c r="H2" s="135" t="s">
        <v>645</v>
      </c>
      <c r="I2" s="143" t="s">
        <v>722</v>
      </c>
      <c r="J2" s="65"/>
    </row>
    <row r="3" spans="1:10" ht="48" thickBot="1">
      <c r="A3" s="158"/>
      <c r="B3" s="62" t="s">
        <v>723</v>
      </c>
      <c r="C3" s="68">
        <v>2</v>
      </c>
      <c r="D3" s="27">
        <v>409</v>
      </c>
      <c r="E3" s="67"/>
      <c r="F3" s="80" t="s">
        <v>724</v>
      </c>
      <c r="G3" s="28" t="s">
        <v>75</v>
      </c>
      <c r="H3" s="124" t="s">
        <v>725</v>
      </c>
      <c r="I3" s="28" t="s">
        <v>726</v>
      </c>
      <c r="J3" s="32"/>
    </row>
    <row r="4" spans="1:10" ht="46.5" customHeight="1">
      <c r="A4" s="158"/>
      <c r="B4" s="62" t="s">
        <v>727</v>
      </c>
      <c r="C4" s="68">
        <v>2</v>
      </c>
      <c r="D4" s="27">
        <v>770</v>
      </c>
      <c r="E4" s="67"/>
      <c r="F4" s="80" t="s">
        <v>728</v>
      </c>
      <c r="G4" s="28" t="s">
        <v>26</v>
      </c>
      <c r="H4" s="124" t="s">
        <v>645</v>
      </c>
      <c r="I4" s="28" t="s">
        <v>729</v>
      </c>
      <c r="J4" s="32"/>
    </row>
    <row r="5" spans="1:10" ht="31.5">
      <c r="A5" s="2" t="s">
        <v>730</v>
      </c>
      <c r="B5" s="62" t="s">
        <v>731</v>
      </c>
      <c r="C5" s="68">
        <v>2</v>
      </c>
      <c r="D5" s="27">
        <v>434</v>
      </c>
      <c r="E5" s="67"/>
      <c r="F5" s="80" t="s">
        <v>732</v>
      </c>
      <c r="G5" s="28" t="s">
        <v>26</v>
      </c>
      <c r="H5" s="124" t="s">
        <v>453</v>
      </c>
      <c r="I5" s="28" t="s">
        <v>733</v>
      </c>
      <c r="J5" s="32"/>
    </row>
    <row r="6" spans="1:10" ht="48" customHeight="1">
      <c r="A6" s="158" t="s">
        <v>734</v>
      </c>
      <c r="B6" s="62" t="s">
        <v>735</v>
      </c>
      <c r="C6" s="66">
        <v>1</v>
      </c>
      <c r="D6" s="27">
        <v>22</v>
      </c>
      <c r="E6" s="67"/>
      <c r="F6" s="80" t="s">
        <v>736</v>
      </c>
      <c r="G6" s="28" t="s">
        <v>26</v>
      </c>
      <c r="H6" s="124" t="s">
        <v>737</v>
      </c>
      <c r="I6" s="28" t="s">
        <v>738</v>
      </c>
      <c r="J6" s="32"/>
    </row>
    <row r="7" spans="1:10" ht="31.5">
      <c r="A7" s="158"/>
      <c r="B7" s="62" t="s">
        <v>739</v>
      </c>
      <c r="C7" s="66">
        <v>1</v>
      </c>
      <c r="D7" s="27">
        <v>73</v>
      </c>
      <c r="E7" s="67"/>
      <c r="F7" s="80" t="s">
        <v>740</v>
      </c>
      <c r="G7" s="28" t="s">
        <v>75</v>
      </c>
      <c r="H7" s="28"/>
      <c r="I7" s="28"/>
      <c r="J7" s="32"/>
    </row>
    <row r="8" spans="1:10" ht="47.25">
      <c r="A8" s="158"/>
      <c r="B8" s="62" t="s">
        <v>741</v>
      </c>
      <c r="C8" s="66">
        <v>1</v>
      </c>
      <c r="D8" s="27">
        <v>98</v>
      </c>
      <c r="E8" s="67"/>
      <c r="F8" s="80" t="s">
        <v>742</v>
      </c>
      <c r="G8" s="28" t="s">
        <v>75</v>
      </c>
      <c r="H8" s="28"/>
      <c r="I8" s="28"/>
      <c r="J8" s="32"/>
    </row>
    <row r="9" spans="1:10" ht="63">
      <c r="A9" s="158"/>
      <c r="B9" s="62" t="s">
        <v>743</v>
      </c>
      <c r="C9" s="66">
        <v>1</v>
      </c>
      <c r="D9" s="27">
        <v>641</v>
      </c>
      <c r="E9" s="67"/>
      <c r="F9" s="80" t="s">
        <v>744</v>
      </c>
      <c r="G9" s="28" t="s">
        <v>75</v>
      </c>
      <c r="H9" s="28"/>
      <c r="I9" s="28"/>
      <c r="J9" s="32"/>
    </row>
    <row r="10" spans="1:10" ht="31.5">
      <c r="A10" s="158"/>
      <c r="B10" s="62" t="s">
        <v>745</v>
      </c>
      <c r="C10" s="66">
        <v>1</v>
      </c>
      <c r="D10" s="27">
        <v>78</v>
      </c>
      <c r="E10" s="67"/>
      <c r="F10" s="80" t="s">
        <v>746</v>
      </c>
      <c r="G10" s="28" t="s">
        <v>75</v>
      </c>
      <c r="H10" s="28"/>
      <c r="I10" s="28"/>
      <c r="J10" s="32"/>
    </row>
    <row r="11" spans="1:10" ht="47.25">
      <c r="A11" s="158"/>
      <c r="B11" s="62" t="s">
        <v>747</v>
      </c>
      <c r="C11" s="68">
        <v>2</v>
      </c>
      <c r="D11" s="27">
        <v>829</v>
      </c>
      <c r="E11" s="27"/>
      <c r="F11" s="80" t="s">
        <v>748</v>
      </c>
      <c r="G11" s="28" t="s">
        <v>75</v>
      </c>
      <c r="H11" s="28"/>
      <c r="I11" s="28"/>
      <c r="J11" s="32"/>
    </row>
    <row r="12" spans="1:10" ht="32.25" customHeight="1">
      <c r="A12" s="158" t="s">
        <v>749</v>
      </c>
      <c r="B12" s="62" t="s">
        <v>750</v>
      </c>
      <c r="C12" s="66">
        <v>1</v>
      </c>
      <c r="D12" s="27">
        <v>922</v>
      </c>
      <c r="E12" s="27"/>
      <c r="F12" s="80" t="s">
        <v>751</v>
      </c>
      <c r="G12" s="28" t="s">
        <v>26</v>
      </c>
      <c r="H12" s="124" t="s">
        <v>752</v>
      </c>
      <c r="I12" s="28" t="s">
        <v>753</v>
      </c>
      <c r="J12" s="32"/>
    </row>
    <row r="13" spans="1:10" ht="31.5">
      <c r="A13" s="158"/>
      <c r="B13" s="62" t="s">
        <v>754</v>
      </c>
      <c r="C13" s="66">
        <v>1</v>
      </c>
      <c r="D13" s="27">
        <v>509</v>
      </c>
      <c r="E13" s="27"/>
      <c r="F13" s="80" t="s">
        <v>755</v>
      </c>
      <c r="G13" s="28" t="s">
        <v>75</v>
      </c>
      <c r="H13" s="28"/>
      <c r="I13" s="28"/>
      <c r="J13" s="32"/>
    </row>
    <row r="14" spans="1:10" ht="79.5" customHeight="1">
      <c r="A14" s="158" t="s">
        <v>756</v>
      </c>
      <c r="B14" s="62" t="s">
        <v>757</v>
      </c>
      <c r="C14" s="66">
        <v>1</v>
      </c>
      <c r="D14" s="27">
        <v>552</v>
      </c>
      <c r="E14" s="27"/>
      <c r="F14" s="80" t="s">
        <v>758</v>
      </c>
      <c r="G14" s="28" t="s">
        <v>75</v>
      </c>
      <c r="H14" s="28"/>
      <c r="I14" s="28"/>
      <c r="J14" s="32"/>
    </row>
    <row r="15" spans="1:10" ht="31.5">
      <c r="A15" s="158"/>
      <c r="B15" s="62" t="s">
        <v>759</v>
      </c>
      <c r="C15" s="66">
        <v>1</v>
      </c>
      <c r="D15" s="27">
        <v>434</v>
      </c>
      <c r="E15" s="27"/>
      <c r="F15" s="80" t="s">
        <v>760</v>
      </c>
      <c r="G15" s="28" t="s">
        <v>75</v>
      </c>
      <c r="H15" s="28"/>
      <c r="I15" s="28"/>
      <c r="J15" s="32"/>
    </row>
    <row r="16" spans="1:10" ht="47.25">
      <c r="A16" s="2" t="s">
        <v>761</v>
      </c>
      <c r="B16" s="62" t="s">
        <v>762</v>
      </c>
      <c r="C16" s="70">
        <v>1</v>
      </c>
      <c r="D16" s="34">
        <v>918</v>
      </c>
      <c r="E16" s="34"/>
      <c r="F16" s="81" t="s">
        <v>763</v>
      </c>
      <c r="G16" s="35" t="s">
        <v>75</v>
      </c>
      <c r="H16" s="35"/>
      <c r="I16" s="35"/>
      <c r="J16" s="37"/>
    </row>
  </sheetData>
  <mergeCells count="4">
    <mergeCell ref="A2:A4"/>
    <mergeCell ref="A6:A11"/>
    <mergeCell ref="A12:A13"/>
    <mergeCell ref="A14:A15"/>
  </mergeCells>
  <dataValidations count="1">
    <dataValidation type="list" operator="equal" showErrorMessage="1" sqref="G2:G16" xr:uid="{00000000-0002-0000-0C00-000000000000}">
      <formula1>"Valid,Non-valid,Not Applicable"</formula1>
      <formula2>0</formula2>
    </dataValidation>
  </dataValidations>
  <hyperlinks>
    <hyperlink ref="H12" r:id="rId1" xr:uid="{BB6226E6-6240-4B1A-A38B-1CB2633AEB48}"/>
    <hyperlink ref="H3" r:id="rId2" xr:uid="{36BD1D48-15D9-4ED1-8C44-69CBD48DB279}"/>
    <hyperlink ref="H5" r:id="rId3" xr:uid="{1806666E-7CA5-4323-9F07-D402D0F42C57}"/>
    <hyperlink ref="H4" r:id="rId4" xr:uid="{2C686002-6763-4138-AE73-1511FAE3DD61}"/>
    <hyperlink ref="H6" r:id="rId5" location="L87" xr:uid="{73EC1003-B571-455C-B3FC-89B80A9351CD}"/>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6"/>
  <sheetViews>
    <sheetView topLeftCell="A11" zoomScale="95" zoomScaleNormal="95" workbookViewId="0">
      <selection activeCell="G2" sqref="G2"/>
    </sheetView>
  </sheetViews>
  <sheetFormatPr defaultColWidth="8.7109375" defaultRowHeight="21"/>
  <cols>
    <col min="1" max="1" width="24" style="72" customWidth="1"/>
    <col min="2" max="5" width="8.7109375" style="25"/>
    <col min="6" max="6" width="84.42578125" style="25" customWidth="1"/>
    <col min="7" max="7" width="17.42578125" style="25" customWidth="1"/>
    <col min="8" max="8" width="35.42578125" style="25" customWidth="1"/>
    <col min="9" max="9" width="24.140625" style="25" customWidth="1"/>
    <col min="10" max="10" width="37.7109375" style="25" customWidth="1"/>
    <col min="11" max="1024" width="8.7109375" style="25"/>
  </cols>
  <sheetData>
    <row r="1" spans="1:10" s="43" customFormat="1" ht="42">
      <c r="A1" s="94" t="s">
        <v>20</v>
      </c>
      <c r="B1" s="61" t="s">
        <v>21</v>
      </c>
      <c r="C1" s="60" t="s">
        <v>22</v>
      </c>
      <c r="D1" s="60" t="s">
        <v>23</v>
      </c>
      <c r="E1" s="60" t="s">
        <v>24</v>
      </c>
      <c r="F1" s="61" t="s">
        <v>25</v>
      </c>
      <c r="G1" s="61" t="s">
        <v>26</v>
      </c>
      <c r="H1" s="61" t="s">
        <v>27</v>
      </c>
      <c r="I1" s="61" t="s">
        <v>28</v>
      </c>
      <c r="J1" s="61" t="s">
        <v>29</v>
      </c>
    </row>
    <row r="2" spans="1:10" ht="48" customHeight="1">
      <c r="A2" s="158" t="s">
        <v>764</v>
      </c>
      <c r="B2" s="62" t="s">
        <v>765</v>
      </c>
      <c r="C2" s="63">
        <v>1</v>
      </c>
      <c r="D2" s="47">
        <v>116</v>
      </c>
      <c r="E2" s="64"/>
      <c r="F2" s="79" t="s">
        <v>766</v>
      </c>
      <c r="G2" s="49" t="s">
        <v>26</v>
      </c>
      <c r="H2" s="130" t="s">
        <v>52</v>
      </c>
      <c r="I2" s="150" t="s">
        <v>767</v>
      </c>
      <c r="J2" s="65"/>
    </row>
    <row r="3" spans="1:10" ht="15.75">
      <c r="A3" s="158"/>
      <c r="B3" s="62" t="s">
        <v>768</v>
      </c>
      <c r="C3" s="66">
        <v>1</v>
      </c>
      <c r="D3" s="27">
        <v>419</v>
      </c>
      <c r="E3" s="67"/>
      <c r="F3" s="80" t="s">
        <v>769</v>
      </c>
      <c r="G3" s="28" t="s">
        <v>75</v>
      </c>
      <c r="H3" s="28"/>
      <c r="I3" s="28"/>
      <c r="J3" s="32"/>
    </row>
    <row r="4" spans="1:10" ht="35.25" customHeight="1">
      <c r="A4" s="158"/>
      <c r="B4" s="62" t="s">
        <v>770</v>
      </c>
      <c r="C4" s="66">
        <v>1</v>
      </c>
      <c r="D4" s="27">
        <v>598</v>
      </c>
      <c r="E4" s="67"/>
      <c r="F4" s="80" t="s">
        <v>771</v>
      </c>
      <c r="G4" s="28" t="s">
        <v>26</v>
      </c>
      <c r="H4" s="124" t="s">
        <v>436</v>
      </c>
      <c r="I4" s="28" t="s">
        <v>772</v>
      </c>
      <c r="J4" s="32"/>
    </row>
    <row r="5" spans="1:10" ht="47.25">
      <c r="A5" s="158"/>
      <c r="B5" s="62" t="s">
        <v>773</v>
      </c>
      <c r="C5" s="68">
        <v>2</v>
      </c>
      <c r="D5" s="27">
        <v>285</v>
      </c>
      <c r="E5" s="67"/>
      <c r="F5" s="80" t="s">
        <v>774</v>
      </c>
      <c r="G5" s="28" t="s">
        <v>26</v>
      </c>
      <c r="H5" s="124" t="s">
        <v>52</v>
      </c>
      <c r="I5" s="28" t="s">
        <v>775</v>
      </c>
      <c r="J5" s="32"/>
    </row>
    <row r="6" spans="1:10" ht="51.75" customHeight="1">
      <c r="A6" s="158"/>
      <c r="B6" s="62" t="s">
        <v>776</v>
      </c>
      <c r="C6" s="68">
        <v>2</v>
      </c>
      <c r="D6" s="27">
        <v>434</v>
      </c>
      <c r="E6" s="67"/>
      <c r="F6" s="80" t="s">
        <v>777</v>
      </c>
      <c r="G6" s="28" t="s">
        <v>75</v>
      </c>
      <c r="H6" s="28"/>
      <c r="I6" s="28"/>
      <c r="J6" s="32"/>
    </row>
    <row r="7" spans="1:10" ht="32.25" customHeight="1">
      <c r="A7" s="158" t="s">
        <v>778</v>
      </c>
      <c r="B7" s="62" t="s">
        <v>779</v>
      </c>
      <c r="C7" s="66">
        <v>1</v>
      </c>
      <c r="D7" s="27">
        <v>650</v>
      </c>
      <c r="E7" s="67"/>
      <c r="F7" s="80" t="s">
        <v>780</v>
      </c>
      <c r="G7" s="28" t="s">
        <v>26</v>
      </c>
      <c r="H7" s="124" t="s">
        <v>52</v>
      </c>
      <c r="I7" s="28" t="s">
        <v>775</v>
      </c>
      <c r="J7" s="32"/>
    </row>
    <row r="8" spans="1:10" ht="15.75">
      <c r="A8" s="158"/>
      <c r="B8" s="62" t="s">
        <v>781</v>
      </c>
      <c r="C8" s="66">
        <v>1</v>
      </c>
      <c r="D8" s="27">
        <v>20</v>
      </c>
      <c r="E8" s="67"/>
      <c r="F8" s="80" t="s">
        <v>782</v>
      </c>
      <c r="G8" s="28" t="s">
        <v>26</v>
      </c>
      <c r="H8" s="124" t="s">
        <v>440</v>
      </c>
      <c r="I8" s="28" t="s">
        <v>783</v>
      </c>
      <c r="J8" s="32"/>
    </row>
    <row r="9" spans="1:10" ht="47.25">
      <c r="A9" s="158"/>
      <c r="B9" s="62" t="s">
        <v>784</v>
      </c>
      <c r="C9" s="66">
        <v>1</v>
      </c>
      <c r="D9" s="27">
        <v>352</v>
      </c>
      <c r="E9" s="67"/>
      <c r="F9" s="80" t="s">
        <v>785</v>
      </c>
      <c r="G9" s="28" t="s">
        <v>75</v>
      </c>
      <c r="H9" s="28"/>
      <c r="I9" s="28"/>
      <c r="J9" s="32"/>
    </row>
    <row r="10" spans="1:10" ht="15.75">
      <c r="A10" s="158"/>
      <c r="B10" s="62" t="s">
        <v>786</v>
      </c>
      <c r="C10" s="68">
        <v>2</v>
      </c>
      <c r="D10" s="27">
        <v>770</v>
      </c>
      <c r="E10" s="67"/>
      <c r="F10" s="80" t="s">
        <v>787</v>
      </c>
      <c r="G10" s="28" t="s">
        <v>75</v>
      </c>
      <c r="H10" s="28"/>
      <c r="I10" s="28"/>
      <c r="J10" s="32"/>
    </row>
    <row r="11" spans="1:10" ht="31.5">
      <c r="A11" s="158"/>
      <c r="B11" s="62" t="s">
        <v>788</v>
      </c>
      <c r="C11" s="68">
        <v>2</v>
      </c>
      <c r="D11" s="27">
        <v>436</v>
      </c>
      <c r="E11" s="67"/>
      <c r="F11" s="80" t="s">
        <v>789</v>
      </c>
      <c r="G11" s="28" t="s">
        <v>26</v>
      </c>
      <c r="H11" s="124" t="s">
        <v>268</v>
      </c>
      <c r="I11" s="28" t="s">
        <v>790</v>
      </c>
      <c r="J11" s="32"/>
    </row>
    <row r="12" spans="1:10" ht="93.75" customHeight="1">
      <c r="A12" s="158"/>
      <c r="B12" s="62" t="s">
        <v>791</v>
      </c>
      <c r="C12" s="68">
        <v>2</v>
      </c>
      <c r="D12" s="27">
        <v>345</v>
      </c>
      <c r="E12" s="67"/>
      <c r="F12" s="80" t="s">
        <v>792</v>
      </c>
      <c r="G12" s="28" t="s">
        <v>26</v>
      </c>
      <c r="H12" s="124" t="s">
        <v>645</v>
      </c>
      <c r="I12" s="28" t="s">
        <v>656</v>
      </c>
      <c r="J12" s="28"/>
    </row>
    <row r="13" spans="1:10" ht="48" customHeight="1">
      <c r="A13" s="158" t="s">
        <v>793</v>
      </c>
      <c r="B13" s="62" t="s">
        <v>794</v>
      </c>
      <c r="C13" s="66">
        <v>1</v>
      </c>
      <c r="D13" s="27">
        <v>20</v>
      </c>
      <c r="E13" s="67"/>
      <c r="F13" s="80" t="s">
        <v>795</v>
      </c>
      <c r="G13" s="28" t="s">
        <v>75</v>
      </c>
      <c r="H13" s="28"/>
      <c r="I13" s="28"/>
      <c r="J13" s="32"/>
    </row>
    <row r="14" spans="1:10" ht="31.5">
      <c r="A14" s="158"/>
      <c r="B14" s="62" t="s">
        <v>796</v>
      </c>
      <c r="C14" s="68">
        <v>2</v>
      </c>
      <c r="D14" s="27">
        <v>345</v>
      </c>
      <c r="E14" s="67"/>
      <c r="F14" s="80" t="s">
        <v>797</v>
      </c>
      <c r="G14" s="28" t="s">
        <v>75</v>
      </c>
      <c r="H14" s="28"/>
      <c r="I14" s="28"/>
      <c r="J14" s="32"/>
    </row>
    <row r="15" spans="1:10" ht="63.75" customHeight="1">
      <c r="A15" s="158" t="s">
        <v>798</v>
      </c>
      <c r="B15" s="62" t="s">
        <v>799</v>
      </c>
      <c r="C15" s="68">
        <v>2</v>
      </c>
      <c r="D15" s="27">
        <v>770</v>
      </c>
      <c r="E15" s="67"/>
      <c r="F15" s="80" t="s">
        <v>800</v>
      </c>
      <c r="G15" s="28" t="s">
        <v>75</v>
      </c>
      <c r="H15" s="28"/>
      <c r="I15" s="28"/>
      <c r="J15" s="32"/>
    </row>
    <row r="16" spans="1:10" ht="31.5">
      <c r="A16" s="158"/>
      <c r="B16" s="62" t="s">
        <v>801</v>
      </c>
      <c r="C16" s="78">
        <v>2</v>
      </c>
      <c r="D16" s="34">
        <v>285</v>
      </c>
      <c r="E16" s="71"/>
      <c r="F16" s="81" t="s">
        <v>802</v>
      </c>
      <c r="G16" s="35" t="s">
        <v>75</v>
      </c>
      <c r="H16" s="35"/>
      <c r="I16" s="35"/>
      <c r="J16" s="37"/>
    </row>
  </sheetData>
  <mergeCells count="4">
    <mergeCell ref="A2:A6"/>
    <mergeCell ref="A7:A12"/>
    <mergeCell ref="A13:A14"/>
    <mergeCell ref="A15:A16"/>
  </mergeCells>
  <dataValidations count="1">
    <dataValidation type="list" operator="equal" showErrorMessage="1" sqref="G2:G16" xr:uid="{00000000-0002-0000-0D00-000000000000}">
      <formula1>"Valid,Non-valid,Not Applicable"</formula1>
      <formula2>0</formula2>
    </dataValidation>
  </dataValidations>
  <hyperlinks>
    <hyperlink ref="H12" r:id="rId1" xr:uid="{B8DE04D9-2E5B-43DD-8216-6C5E26034D8D}"/>
    <hyperlink ref="H4" r:id="rId2" xr:uid="{0F6CE04F-4617-4796-9DB6-18B77433AE34}"/>
    <hyperlink ref="H5" r:id="rId3" xr:uid="{F825BF48-171F-4F29-B479-A8F25DAE012C}"/>
    <hyperlink ref="H7" r:id="rId4" xr:uid="{CFCE09E8-9D9A-417A-94CF-EE56BDCA3496}"/>
    <hyperlink ref="H8" r:id="rId5" xr:uid="{5F804BF8-D99E-4E33-BF26-57C6D8988C0A}"/>
    <hyperlink ref="H11" r:id="rId6" xr:uid="{8A7002FB-0755-EE40-BAFD-39C900E62404}"/>
    <hyperlink ref="H2" r:id="rId7" xr:uid="{2A766E73-53A3-1649-9931-3F85DC96C4F5}"/>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26"/>
  <sheetViews>
    <sheetView zoomScale="95" zoomScaleNormal="95" workbookViewId="0">
      <selection activeCell="H13" sqref="H13"/>
    </sheetView>
  </sheetViews>
  <sheetFormatPr defaultColWidth="8.7109375" defaultRowHeight="21"/>
  <cols>
    <col min="1" max="1" width="40.7109375" style="72" customWidth="1"/>
    <col min="2" max="2" width="14.140625" style="25" customWidth="1"/>
    <col min="3" max="5" width="8.7109375" style="25"/>
    <col min="6" max="6" width="88.7109375" style="25" customWidth="1"/>
    <col min="7" max="7" width="17.140625" style="25" customWidth="1"/>
    <col min="8" max="8" width="69.140625" style="25" customWidth="1"/>
    <col min="9" max="9" width="20.42578125" style="25" customWidth="1"/>
    <col min="10" max="10" width="33.42578125" style="25" customWidth="1"/>
    <col min="11" max="1024" width="8.7109375" style="25"/>
  </cols>
  <sheetData>
    <row r="1" spans="1:10" s="43" customFormat="1" ht="42">
      <c r="A1" s="98" t="s">
        <v>20</v>
      </c>
      <c r="B1" s="86" t="s">
        <v>21</v>
      </c>
      <c r="C1" s="85" t="s">
        <v>22</v>
      </c>
      <c r="D1" s="85" t="s">
        <v>23</v>
      </c>
      <c r="E1" s="85" t="s">
        <v>24</v>
      </c>
      <c r="F1" s="86" t="s">
        <v>25</v>
      </c>
      <c r="G1" s="86" t="s">
        <v>26</v>
      </c>
      <c r="H1" s="86" t="s">
        <v>27</v>
      </c>
      <c r="I1" s="86" t="s">
        <v>28</v>
      </c>
      <c r="J1" s="86" t="s">
        <v>29</v>
      </c>
    </row>
    <row r="2" spans="1:10" ht="48" customHeight="1">
      <c r="A2" s="162" t="s">
        <v>803</v>
      </c>
      <c r="B2" s="99" t="s">
        <v>804</v>
      </c>
      <c r="C2" s="100">
        <v>2</v>
      </c>
      <c r="D2" s="101"/>
      <c r="E2" s="102"/>
      <c r="F2" s="103" t="s">
        <v>805</v>
      </c>
      <c r="G2" s="104" t="s">
        <v>26</v>
      </c>
      <c r="H2" s="139" t="s">
        <v>560</v>
      </c>
      <c r="I2" s="104"/>
      <c r="J2" s="105"/>
    </row>
    <row r="3" spans="1:10" ht="47.25">
      <c r="A3" s="162"/>
      <c r="B3" s="62" t="s">
        <v>806</v>
      </c>
      <c r="C3" s="106">
        <v>2</v>
      </c>
      <c r="D3" s="107">
        <v>120</v>
      </c>
      <c r="E3" s="108"/>
      <c r="F3" s="109" t="s">
        <v>807</v>
      </c>
      <c r="G3" s="110" t="s">
        <v>75</v>
      </c>
      <c r="H3" s="110"/>
      <c r="I3" s="110"/>
      <c r="J3" s="111"/>
    </row>
    <row r="4" spans="1:10" ht="31.5">
      <c r="A4" s="162"/>
      <c r="B4" s="62" t="s">
        <v>808</v>
      </c>
      <c r="C4" s="106">
        <v>2</v>
      </c>
      <c r="D4" s="107">
        <v>16</v>
      </c>
      <c r="E4" s="108"/>
      <c r="F4" s="109" t="s">
        <v>809</v>
      </c>
      <c r="G4" s="110" t="s">
        <v>75</v>
      </c>
      <c r="H4" s="110"/>
      <c r="I4" s="110"/>
      <c r="J4" s="111"/>
    </row>
    <row r="5" spans="1:10" ht="47.25">
      <c r="A5" s="162"/>
      <c r="B5" s="62" t="s">
        <v>810</v>
      </c>
      <c r="C5" s="106">
        <v>2</v>
      </c>
      <c r="D5" s="107"/>
      <c r="E5" s="108"/>
      <c r="F5" s="109" t="s">
        <v>811</v>
      </c>
      <c r="G5" s="110" t="s">
        <v>75</v>
      </c>
      <c r="H5" s="110"/>
      <c r="I5" s="110"/>
      <c r="J5" s="111"/>
    </row>
    <row r="6" spans="1:10" ht="31.5">
      <c r="A6" s="162"/>
      <c r="B6" s="62" t="s">
        <v>812</v>
      </c>
      <c r="C6" s="112">
        <v>3</v>
      </c>
      <c r="D6" s="107"/>
      <c r="E6" s="108"/>
      <c r="F6" s="109" t="s">
        <v>813</v>
      </c>
      <c r="G6" s="110" t="s">
        <v>75</v>
      </c>
      <c r="H6" s="110"/>
      <c r="I6" s="110"/>
      <c r="J6" s="111"/>
    </row>
    <row r="7" spans="1:10" ht="48" customHeight="1">
      <c r="A7" s="158" t="s">
        <v>814</v>
      </c>
      <c r="B7" s="62" t="s">
        <v>815</v>
      </c>
      <c r="C7" s="113">
        <v>1</v>
      </c>
      <c r="D7" s="107">
        <v>1026</v>
      </c>
      <c r="E7" s="108"/>
      <c r="F7" s="109" t="s">
        <v>816</v>
      </c>
      <c r="G7" s="110" t="s">
        <v>26</v>
      </c>
      <c r="H7" s="144" t="s">
        <v>674</v>
      </c>
      <c r="I7" s="110"/>
      <c r="J7" s="111"/>
    </row>
    <row r="8" spans="1:10" ht="31.5">
      <c r="A8" s="158"/>
      <c r="B8" s="62" t="s">
        <v>817</v>
      </c>
      <c r="C8" s="113">
        <v>1</v>
      </c>
      <c r="D8" s="107">
        <v>1002</v>
      </c>
      <c r="E8" s="108"/>
      <c r="F8" s="109" t="s">
        <v>818</v>
      </c>
      <c r="G8" s="110" t="s">
        <v>26</v>
      </c>
      <c r="H8" s="110"/>
      <c r="I8" s="110"/>
      <c r="J8" s="111"/>
    </row>
    <row r="9" spans="1:10" ht="47.25">
      <c r="A9" s="158"/>
      <c r="B9" s="62" t="s">
        <v>819</v>
      </c>
      <c r="C9" s="113">
        <v>1</v>
      </c>
      <c r="D9" s="107">
        <v>829</v>
      </c>
      <c r="E9" s="108"/>
      <c r="F9" s="109" t="s">
        <v>820</v>
      </c>
      <c r="G9" s="110" t="s">
        <v>75</v>
      </c>
      <c r="H9" s="110"/>
      <c r="I9" s="110" t="s">
        <v>821</v>
      </c>
      <c r="J9" s="111"/>
    </row>
    <row r="10" spans="1:10" ht="47.25">
      <c r="A10" s="158"/>
      <c r="B10" s="62" t="s">
        <v>822</v>
      </c>
      <c r="C10" s="106">
        <v>2</v>
      </c>
      <c r="D10" s="107">
        <v>829</v>
      </c>
      <c r="E10" s="108"/>
      <c r="F10" s="109" t="s">
        <v>823</v>
      </c>
      <c r="G10" s="110" t="s">
        <v>26</v>
      </c>
      <c r="H10" s="144" t="s">
        <v>674</v>
      </c>
      <c r="I10" s="110" t="s">
        <v>824</v>
      </c>
      <c r="J10" s="111"/>
    </row>
    <row r="11" spans="1:10" ht="31.5">
      <c r="A11" s="158"/>
      <c r="B11" s="62" t="s">
        <v>825</v>
      </c>
      <c r="C11" s="106">
        <v>2</v>
      </c>
      <c r="D11" s="107"/>
      <c r="E11" s="108"/>
      <c r="F11" s="109" t="s">
        <v>826</v>
      </c>
      <c r="G11" s="110" t="s">
        <v>75</v>
      </c>
      <c r="H11" s="110"/>
      <c r="I11" s="110"/>
      <c r="J11" s="111"/>
    </row>
    <row r="12" spans="1:10" ht="47.25">
      <c r="A12" s="158"/>
      <c r="B12" s="62" t="s">
        <v>827</v>
      </c>
      <c r="C12" s="106">
        <v>2</v>
      </c>
      <c r="D12" s="107">
        <v>265</v>
      </c>
      <c r="E12" s="108"/>
      <c r="F12" s="109" t="s">
        <v>828</v>
      </c>
      <c r="G12" s="110" t="s">
        <v>75</v>
      </c>
      <c r="H12" s="110"/>
      <c r="I12" s="110"/>
      <c r="J12" s="111"/>
    </row>
    <row r="13" spans="1:10" ht="16.5" customHeight="1">
      <c r="A13" s="158" t="s">
        <v>829</v>
      </c>
      <c r="B13" s="62" t="s">
        <v>830</v>
      </c>
      <c r="C13" s="113">
        <v>1</v>
      </c>
      <c r="D13" s="107">
        <v>209</v>
      </c>
      <c r="E13" s="108"/>
      <c r="F13" s="109" t="s">
        <v>831</v>
      </c>
      <c r="G13" s="110" t="s">
        <v>75</v>
      </c>
      <c r="H13" s="110"/>
      <c r="I13" s="110"/>
      <c r="J13" s="111"/>
    </row>
    <row r="14" spans="1:10" ht="47.25">
      <c r="A14" s="158"/>
      <c r="B14" s="62" t="s">
        <v>832</v>
      </c>
      <c r="C14" s="113">
        <v>1</v>
      </c>
      <c r="D14" s="107">
        <v>497</v>
      </c>
      <c r="E14" s="108"/>
      <c r="F14" s="109" t="s">
        <v>833</v>
      </c>
      <c r="G14" s="110" t="s">
        <v>26</v>
      </c>
      <c r="H14" s="152" t="s">
        <v>645</v>
      </c>
      <c r="I14" s="110" t="s">
        <v>834</v>
      </c>
      <c r="J14" s="111"/>
    </row>
    <row r="15" spans="1:10" ht="193.5" customHeight="1">
      <c r="A15" s="158"/>
      <c r="B15" s="62" t="s">
        <v>835</v>
      </c>
      <c r="C15" s="113">
        <v>1</v>
      </c>
      <c r="D15" s="107">
        <v>200</v>
      </c>
      <c r="E15" s="108"/>
      <c r="F15" s="109" t="s">
        <v>836</v>
      </c>
      <c r="G15" s="110" t="s">
        <v>26</v>
      </c>
      <c r="H15" s="110"/>
      <c r="I15" s="110"/>
      <c r="J15" s="111"/>
    </row>
    <row r="16" spans="1:10" ht="48" customHeight="1">
      <c r="A16" s="158" t="s">
        <v>837</v>
      </c>
      <c r="B16" s="62" t="s">
        <v>838</v>
      </c>
      <c r="C16" s="113">
        <v>1</v>
      </c>
      <c r="D16" s="107">
        <v>173</v>
      </c>
      <c r="E16" s="108"/>
      <c r="F16" s="109" t="s">
        <v>839</v>
      </c>
      <c r="G16" s="110" t="s">
        <v>26</v>
      </c>
      <c r="H16" s="152" t="s">
        <v>840</v>
      </c>
      <c r="I16" s="110" t="s">
        <v>841</v>
      </c>
      <c r="J16" s="111"/>
    </row>
    <row r="17" spans="1:10" ht="31.5">
      <c r="A17" s="158"/>
      <c r="B17" s="62" t="s">
        <v>842</v>
      </c>
      <c r="C17" s="113">
        <v>1</v>
      </c>
      <c r="D17" s="107">
        <v>116</v>
      </c>
      <c r="E17" s="108"/>
      <c r="F17" s="109" t="s">
        <v>843</v>
      </c>
      <c r="G17" s="110" t="s">
        <v>26</v>
      </c>
      <c r="H17" s="152" t="s">
        <v>840</v>
      </c>
      <c r="I17" s="110" t="s">
        <v>844</v>
      </c>
      <c r="J17" s="111"/>
    </row>
    <row r="18" spans="1:10" ht="31.5">
      <c r="A18" s="158"/>
      <c r="B18" s="62" t="s">
        <v>845</v>
      </c>
      <c r="C18" s="113">
        <v>1</v>
      </c>
      <c r="D18" s="107">
        <v>1021</v>
      </c>
      <c r="E18" s="108"/>
      <c r="F18" s="109" t="s">
        <v>846</v>
      </c>
      <c r="G18" s="110" t="s">
        <v>26</v>
      </c>
      <c r="H18" s="152" t="s">
        <v>52</v>
      </c>
      <c r="I18" s="110" t="s">
        <v>847</v>
      </c>
      <c r="J18" s="111"/>
    </row>
    <row r="19" spans="1:10" ht="15.75">
      <c r="A19" s="158"/>
      <c r="B19" s="62" t="s">
        <v>848</v>
      </c>
      <c r="C19" s="113">
        <v>1</v>
      </c>
      <c r="D19" s="107">
        <v>116</v>
      </c>
      <c r="E19" s="108"/>
      <c r="F19" s="109" t="s">
        <v>849</v>
      </c>
      <c r="G19" s="110" t="s">
        <v>26</v>
      </c>
      <c r="H19" s="152" t="s">
        <v>52</v>
      </c>
      <c r="I19" s="110" t="s">
        <v>850</v>
      </c>
      <c r="J19" s="111"/>
    </row>
    <row r="20" spans="1:10" ht="31.5">
      <c r="A20" s="158"/>
      <c r="B20" s="62" t="s">
        <v>851</v>
      </c>
      <c r="C20" s="113">
        <v>1</v>
      </c>
      <c r="D20" s="107">
        <v>523</v>
      </c>
      <c r="E20" s="108"/>
      <c r="F20" s="109" t="s">
        <v>852</v>
      </c>
      <c r="G20" s="110" t="s">
        <v>26</v>
      </c>
      <c r="H20" s="152" t="s">
        <v>52</v>
      </c>
      <c r="I20" s="110" t="s">
        <v>853</v>
      </c>
      <c r="J20" s="111"/>
    </row>
    <row r="21" spans="1:10" ht="31.5">
      <c r="A21" s="158"/>
      <c r="B21" s="62" t="s">
        <v>854</v>
      </c>
      <c r="C21" s="113">
        <v>1</v>
      </c>
      <c r="D21" s="107">
        <v>116</v>
      </c>
      <c r="E21" s="108"/>
      <c r="F21" s="109" t="s">
        <v>855</v>
      </c>
      <c r="G21" s="110" t="s">
        <v>26</v>
      </c>
      <c r="H21" s="152" t="s">
        <v>52</v>
      </c>
      <c r="I21" s="110" t="s">
        <v>856</v>
      </c>
      <c r="J21" s="111"/>
    </row>
    <row r="22" spans="1:10" ht="47.25">
      <c r="A22" s="158"/>
      <c r="B22" s="62" t="s">
        <v>857</v>
      </c>
      <c r="C22" s="113">
        <v>1</v>
      </c>
      <c r="D22" s="107">
        <v>1021</v>
      </c>
      <c r="E22" s="108"/>
      <c r="F22" s="109" t="s">
        <v>858</v>
      </c>
      <c r="G22" s="145" t="s">
        <v>26</v>
      </c>
      <c r="H22" s="144" t="s">
        <v>52</v>
      </c>
      <c r="I22" s="110" t="s">
        <v>859</v>
      </c>
      <c r="J22" s="111"/>
    </row>
    <row r="23" spans="1:10" ht="48" customHeight="1">
      <c r="A23" s="158" t="s">
        <v>860</v>
      </c>
      <c r="B23" s="62" t="s">
        <v>861</v>
      </c>
      <c r="C23" s="113">
        <v>1</v>
      </c>
      <c r="D23" s="107">
        <v>749</v>
      </c>
      <c r="E23" s="108"/>
      <c r="F23" s="109" t="s">
        <v>862</v>
      </c>
      <c r="G23" s="110" t="s">
        <v>26</v>
      </c>
      <c r="H23" s="152" t="s">
        <v>52</v>
      </c>
      <c r="I23" s="110" t="s">
        <v>863</v>
      </c>
      <c r="J23" s="111"/>
    </row>
    <row r="24" spans="1:10" ht="31.5">
      <c r="A24" s="158"/>
      <c r="B24" s="62" t="s">
        <v>864</v>
      </c>
      <c r="C24" s="113">
        <v>1</v>
      </c>
      <c r="D24" s="107">
        <v>346</v>
      </c>
      <c r="E24" s="108"/>
      <c r="F24" s="109" t="s">
        <v>865</v>
      </c>
      <c r="G24" s="110" t="s">
        <v>26</v>
      </c>
      <c r="H24" s="152" t="s">
        <v>52</v>
      </c>
      <c r="I24" s="110" t="s">
        <v>866</v>
      </c>
      <c r="J24" s="111"/>
    </row>
    <row r="25" spans="1:10" ht="47.25">
      <c r="A25" s="158"/>
      <c r="B25" s="62" t="s">
        <v>867</v>
      </c>
      <c r="C25" s="113">
        <v>1</v>
      </c>
      <c r="D25" s="107">
        <v>346</v>
      </c>
      <c r="E25" s="108"/>
      <c r="F25" s="109" t="s">
        <v>868</v>
      </c>
      <c r="G25" s="110" t="s">
        <v>75</v>
      </c>
      <c r="H25" s="110"/>
      <c r="I25" s="110"/>
      <c r="J25" s="111"/>
    </row>
    <row r="26" spans="1:10" ht="31.5">
      <c r="A26" s="158"/>
      <c r="B26" s="62" t="s">
        <v>869</v>
      </c>
      <c r="C26" s="114">
        <v>2</v>
      </c>
      <c r="D26" s="115">
        <v>306</v>
      </c>
      <c r="E26" s="116"/>
      <c r="F26" s="117" t="s">
        <v>870</v>
      </c>
      <c r="G26" s="118" t="s">
        <v>26</v>
      </c>
      <c r="H26" s="153" t="s">
        <v>52</v>
      </c>
      <c r="I26" s="118" t="s">
        <v>871</v>
      </c>
      <c r="J26" s="119"/>
    </row>
  </sheetData>
  <mergeCells count="5">
    <mergeCell ref="A2:A6"/>
    <mergeCell ref="A7:A12"/>
    <mergeCell ref="A13:A15"/>
    <mergeCell ref="A16:A22"/>
    <mergeCell ref="A23:A26"/>
  </mergeCells>
  <dataValidations count="1">
    <dataValidation type="list" operator="equal" showErrorMessage="1" sqref="G2:G26" xr:uid="{00000000-0002-0000-0E00-000000000000}">
      <formula1>"Valid,Non-valid,Not Applicable"</formula1>
      <formula2>0</formula2>
    </dataValidation>
  </dataValidations>
  <hyperlinks>
    <hyperlink ref="H2" r:id="rId1" xr:uid="{9081D9FA-C9DE-4D0F-A77D-77F483421BC2}"/>
    <hyperlink ref="H10" r:id="rId2" xr:uid="{1F4A389E-E94B-4D80-A703-104BC314A612}"/>
    <hyperlink ref="H7" r:id="rId3" xr:uid="{D74D6A3D-C51B-4DCE-8F62-1BCF288E0E77}"/>
    <hyperlink ref="H22" r:id="rId4" xr:uid="{B995F93D-62D1-4DAE-A94D-4911A49F7903}"/>
    <hyperlink ref="H23" r:id="rId5" xr:uid="{DEDD469E-D26E-4C35-AE93-2F5CB783CCB0}"/>
    <hyperlink ref="H24" r:id="rId6" xr:uid="{13DFB54C-FBA0-4684-869D-CCE31948CE32}"/>
    <hyperlink ref="H26" r:id="rId7" xr:uid="{209B1627-E815-4910-BC66-911A40A3792F}"/>
    <hyperlink ref="H16" r:id="rId8" xr:uid="{234BC9AF-041D-4449-B4F0-EB14F1D21B9D}"/>
    <hyperlink ref="H17" r:id="rId9" xr:uid="{4FE65DBE-81F5-477D-8DD5-235E053C8466}"/>
    <hyperlink ref="H18" r:id="rId10" xr:uid="{27F2A929-7B0E-407B-8938-FF6C109DD91E}"/>
    <hyperlink ref="H19" r:id="rId11" xr:uid="{5E27B9CC-66F3-4F7D-A94C-E8074DAEED45}"/>
    <hyperlink ref="H20" r:id="rId12" xr:uid="{9412BE25-BBBF-49B4-A223-FE5BB409210C}"/>
    <hyperlink ref="H21" r:id="rId13" xr:uid="{FD8E0303-E96C-48CB-9D75-78033B6BD3D7}"/>
    <hyperlink ref="H14" r:id="rId14" xr:uid="{30CC3CB7-1AAB-423C-B83D-2EE5B8956A90}"/>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drawing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1532D62E64B542897B015DD7EB8BE1" ma:contentTypeVersion="5" ma:contentTypeDescription="Create a new document." ma:contentTypeScope="" ma:versionID="b7a3569226b74d60e6b652ffc71f4d32">
  <xsd:schema xmlns:xsd="http://www.w3.org/2001/XMLSchema" xmlns:xs="http://www.w3.org/2001/XMLSchema" xmlns:p="http://schemas.microsoft.com/office/2006/metadata/properties" xmlns:ns3="fc394eac-1db9-4ed7-841e-dbad75f37114" targetNamespace="http://schemas.microsoft.com/office/2006/metadata/properties" ma:root="true" ma:fieldsID="703ca15fe0f30b5d272d860e07a56b87" ns3:_="">
    <xsd:import namespace="fc394eac-1db9-4ed7-841e-dbad75f3711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394eac-1db9-4ed7-841e-dbad75f3711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A6ED93-0A8E-4261-94B4-DEC66AFC9D40}"/>
</file>

<file path=customXml/itemProps2.xml><?xml version="1.0" encoding="utf-8"?>
<ds:datastoreItem xmlns:ds="http://schemas.openxmlformats.org/officeDocument/2006/customXml" ds:itemID="{23D146C6-1B40-4037-981A-C1EEC2FA8E42}"/>
</file>

<file path=customXml/itemProps3.xml><?xml version="1.0" encoding="utf-8"?>
<ds:datastoreItem xmlns:ds="http://schemas.openxmlformats.org/officeDocument/2006/customXml" ds:itemID="{07AF677B-45DB-4EB8-880E-4B82E77B7D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OWASP Application Security Verification Standard CheatSheet</dc:title>
  <dc:subject>OWASP ASVS</dc:subject>
  <dc:creator/>
  <cp:keywords>OWASP ASVS Cheatsheet Spreadsheet</cp:keywords>
  <dc:description>Spreadsheet to help performing Code Review with the ASVS method and critieria</dc:description>
  <cp:lastModifiedBy/>
  <cp:revision>47</cp:revision>
  <dcterms:created xsi:type="dcterms:W3CDTF">2014-11-04T11:54:57Z</dcterms:created>
  <dcterms:modified xsi:type="dcterms:W3CDTF">2025-06-15T21:15:17Z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Author">
    <vt:lpwstr>Batard Florent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ContentTypeId">
    <vt:lpwstr>0x010100701532D62E64B542897B015DD7EB8BE1</vt:lpwstr>
  </property>
</Properties>
</file>